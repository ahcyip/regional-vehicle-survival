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ayip_nrel_gov/Documents/"/>
    </mc:Choice>
  </mc:AlternateContent>
  <xr:revisionPtr revIDLastSave="216" documentId="8_{F38FB1BD-77ED-4ADC-A70E-F881AC01FEAF}" xr6:coauthVersionLast="47" xr6:coauthVersionMax="47" xr10:uidLastSave="{CA117D53-5D89-4960-A02B-4F0D1DEC20AF}"/>
  <bookViews>
    <workbookView xWindow="-120" yWindow="-120" windowWidth="29040" windowHeight="15855" xr2:uid="{0986DC1C-DA4C-4EBE-9B2A-439B3987666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19" i="1"/>
  <c r="O20" i="1"/>
  <c r="O21" i="1"/>
  <c r="O22" i="1"/>
  <c r="O34" i="1"/>
  <c r="O35" i="1"/>
  <c r="O36" i="1"/>
  <c r="O37" i="1"/>
  <c r="N35" i="1"/>
  <c r="N36" i="1" s="1"/>
  <c r="N37" i="1" s="1"/>
  <c r="N38" i="1" s="1"/>
  <c r="N39" i="1" s="1"/>
  <c r="N40" i="1" s="1"/>
  <c r="N41" i="1" s="1"/>
  <c r="O38" i="1"/>
  <c r="N34" i="1"/>
  <c r="N26" i="1"/>
  <c r="N12" i="1"/>
  <c r="C34" i="1"/>
  <c r="P35" i="1" s="1"/>
  <c r="H35" i="1"/>
  <c r="H36" i="1" s="1"/>
  <c r="H37" i="1" s="1"/>
  <c r="H38" i="1" s="1"/>
  <c r="H39" i="1" s="1"/>
  <c r="H40" i="1" s="1"/>
  <c r="I35" i="1"/>
  <c r="I36" i="1"/>
  <c r="I37" i="1"/>
  <c r="I38" i="1"/>
  <c r="I39" i="1"/>
  <c r="I40" i="1"/>
  <c r="I41" i="1"/>
  <c r="I34" i="1"/>
  <c r="J35" i="1" s="1"/>
  <c r="C35" i="1"/>
  <c r="C36" i="1"/>
  <c r="C37" i="1"/>
  <c r="C38" i="1"/>
  <c r="C39" i="1"/>
  <c r="O39" i="1" s="1"/>
  <c r="C40" i="1"/>
  <c r="O40" i="1" s="1"/>
  <c r="C41" i="1"/>
  <c r="O41" i="1" s="1"/>
  <c r="E35" i="1"/>
  <c r="B21" i="1"/>
  <c r="B22" i="1" s="1"/>
  <c r="B23" i="1" s="1"/>
  <c r="B24" i="1" s="1"/>
  <c r="B25" i="1" s="1"/>
  <c r="B26" i="1" s="1"/>
  <c r="N19" i="1"/>
  <c r="N6" i="1"/>
  <c r="N7" i="1" s="1"/>
  <c r="N8" i="1" s="1"/>
  <c r="N9" i="1" s="1"/>
  <c r="N10" i="1" s="1"/>
  <c r="N11" i="1" s="1"/>
  <c r="I26" i="1"/>
  <c r="I25" i="1"/>
  <c r="I24" i="1"/>
  <c r="I23" i="1"/>
  <c r="I22" i="1"/>
  <c r="I21" i="1"/>
  <c r="I20" i="1"/>
  <c r="I19" i="1"/>
  <c r="J20" i="1" s="1"/>
  <c r="I6" i="1"/>
  <c r="I7" i="1"/>
  <c r="I8" i="1"/>
  <c r="I9" i="1"/>
  <c r="I10" i="1"/>
  <c r="I11" i="1"/>
  <c r="I12" i="1"/>
  <c r="I5" i="1"/>
  <c r="K6" i="1" s="1"/>
  <c r="H6" i="1"/>
  <c r="H7" i="1" s="1"/>
  <c r="H8" i="1" s="1"/>
  <c r="H9" i="1" s="1"/>
  <c r="H10" i="1" s="1"/>
  <c r="H11" i="1" s="1"/>
  <c r="H12" i="1" s="1"/>
  <c r="H20" i="1"/>
  <c r="N20" i="1" s="1"/>
  <c r="C5" i="1"/>
  <c r="E6" i="1" s="1"/>
  <c r="C26" i="1"/>
  <c r="O26" i="1" s="1"/>
  <c r="C25" i="1"/>
  <c r="O25" i="1" s="1"/>
  <c r="C24" i="1"/>
  <c r="O24" i="1" s="1"/>
  <c r="C23" i="1"/>
  <c r="O23" i="1" s="1"/>
  <c r="C22" i="1"/>
  <c r="C21" i="1"/>
  <c r="C20" i="1"/>
  <c r="C19" i="1"/>
  <c r="C6" i="1"/>
  <c r="C7" i="1"/>
  <c r="C8" i="1"/>
  <c r="C9" i="1"/>
  <c r="O9" i="1" s="1"/>
  <c r="C10" i="1"/>
  <c r="O10" i="1" s="1"/>
  <c r="C11" i="1"/>
  <c r="O11" i="1" s="1"/>
  <c r="C12" i="1"/>
  <c r="O12" i="1" s="1"/>
  <c r="Q35" i="1" l="1"/>
  <c r="P36" i="1"/>
  <c r="P37" i="1" s="1"/>
  <c r="P38" i="1" s="1"/>
  <c r="P39" i="1" s="1"/>
  <c r="P40" i="1" s="1"/>
  <c r="P41" i="1" s="1"/>
  <c r="Q36" i="1"/>
  <c r="Q37" i="1" s="1"/>
  <c r="Q38" i="1" s="1"/>
  <c r="Q39" i="1" s="1"/>
  <c r="Q40" i="1" s="1"/>
  <c r="Q41" i="1" s="1"/>
  <c r="E36" i="1"/>
  <c r="E37" i="1" s="1"/>
  <c r="E38" i="1" s="1"/>
  <c r="E39" i="1" s="1"/>
  <c r="E40" i="1" s="1"/>
  <c r="E41" i="1" s="1"/>
  <c r="J36" i="1"/>
  <c r="J37" i="1" s="1"/>
  <c r="J38" i="1" s="1"/>
  <c r="J39" i="1" s="1"/>
  <c r="J40" i="1" s="1"/>
  <c r="J41" i="1" s="1"/>
  <c r="K35" i="1"/>
  <c r="K36" i="1" s="1"/>
  <c r="K37" i="1" s="1"/>
  <c r="K38" i="1" s="1"/>
  <c r="K39" i="1" s="1"/>
  <c r="K40" i="1" s="1"/>
  <c r="K41" i="1" s="1"/>
  <c r="D35" i="1"/>
  <c r="D36" i="1" s="1"/>
  <c r="D37" i="1" s="1"/>
  <c r="D38" i="1" s="1"/>
  <c r="D39" i="1" s="1"/>
  <c r="D40" i="1" s="1"/>
  <c r="D41" i="1" s="1"/>
  <c r="D20" i="1"/>
  <c r="D21" i="1" s="1"/>
  <c r="D22" i="1" s="1"/>
  <c r="D23" i="1" s="1"/>
  <c r="D24" i="1" s="1"/>
  <c r="D25" i="1" s="1"/>
  <c r="D26" i="1" s="1"/>
  <c r="E7" i="1"/>
  <c r="E8" i="1" s="1"/>
  <c r="E9" i="1" s="1"/>
  <c r="E10" i="1" s="1"/>
  <c r="E11" i="1" s="1"/>
  <c r="E12" i="1" s="1"/>
  <c r="E20" i="1"/>
  <c r="E21" i="1" s="1"/>
  <c r="E22" i="1" s="1"/>
  <c r="E23" i="1" s="1"/>
  <c r="E24" i="1" s="1"/>
  <c r="E25" i="1" s="1"/>
  <c r="E26" i="1" s="1"/>
  <c r="H21" i="1"/>
  <c r="H22" i="1" s="1"/>
  <c r="H23" i="1" s="1"/>
  <c r="H24" i="1" s="1"/>
  <c r="H25" i="1" s="1"/>
  <c r="N25" i="1" s="1"/>
  <c r="Q20" i="1"/>
  <c r="Q21" i="1" s="1"/>
  <c r="Q6" i="1"/>
  <c r="Q7" i="1" s="1"/>
  <c r="Q8" i="1" s="1"/>
  <c r="Q9" i="1" s="1"/>
  <c r="Q10" i="1" s="1"/>
  <c r="Q11" i="1" s="1"/>
  <c r="Q12" i="1" s="1"/>
  <c r="N24" i="1"/>
  <c r="N23" i="1"/>
  <c r="N22" i="1"/>
  <c r="D6" i="1"/>
  <c r="D7" i="1" s="1"/>
  <c r="D8" i="1" s="1"/>
  <c r="D9" i="1" s="1"/>
  <c r="D10" i="1" s="1"/>
  <c r="D11" i="1" s="1"/>
  <c r="D12" i="1" s="1"/>
  <c r="P20" i="1"/>
  <c r="P21" i="1" s="1"/>
  <c r="K20" i="1"/>
  <c r="K21" i="1" s="1"/>
  <c r="K22" i="1" s="1"/>
  <c r="K23" i="1" s="1"/>
  <c r="K24" i="1" s="1"/>
  <c r="K25" i="1" s="1"/>
  <c r="K26" i="1" s="1"/>
  <c r="J6" i="1"/>
  <c r="J7" i="1" s="1"/>
  <c r="J8" i="1" s="1"/>
  <c r="J9" i="1" s="1"/>
  <c r="J10" i="1" s="1"/>
  <c r="J11" i="1" s="1"/>
  <c r="J12" i="1" s="1"/>
  <c r="K7" i="1"/>
  <c r="K8" i="1" s="1"/>
  <c r="K9" i="1" s="1"/>
  <c r="K10" i="1" s="1"/>
  <c r="K11" i="1" s="1"/>
  <c r="K12" i="1" s="1"/>
  <c r="J21" i="1"/>
  <c r="J22" i="1" s="1"/>
  <c r="J23" i="1" s="1"/>
  <c r="J24" i="1" s="1"/>
  <c r="J25" i="1" s="1"/>
  <c r="J26" i="1" s="1"/>
  <c r="P6" i="1" l="1"/>
  <c r="P7" i="1" s="1"/>
  <c r="P8" i="1" s="1"/>
  <c r="P9" i="1" s="1"/>
  <c r="P10" i="1" s="1"/>
  <c r="P11" i="1" s="1"/>
  <c r="P12" i="1" s="1"/>
  <c r="N21" i="1"/>
  <c r="P22" i="1" s="1"/>
  <c r="P23" i="1" s="1"/>
  <c r="P24" i="1" s="1"/>
  <c r="P25" i="1" s="1"/>
  <c r="P26" i="1" s="1"/>
  <c r="Q22" i="1" l="1"/>
  <c r="Q23" i="1" s="1"/>
  <c r="Q24" i="1" s="1"/>
  <c r="Q25" i="1" s="1"/>
  <c r="Q26" i="1" s="1"/>
</calcChain>
</file>

<file path=xl/sharedStrings.xml><?xml version="1.0" encoding="utf-8"?>
<sst xmlns="http://schemas.openxmlformats.org/spreadsheetml/2006/main" count="61" uniqueCount="20">
  <si>
    <t>sales trajectory</t>
  </si>
  <si>
    <t>year</t>
  </si>
  <si>
    <t>ice stock</t>
  </si>
  <si>
    <t>ev stock</t>
  </si>
  <si>
    <t>BUT could import EVs from other counties, could buy/refresh vehicles faster</t>
  </si>
  <si>
    <t>Low sales, high turnover</t>
  </si>
  <si>
    <t>e.g. subsidy causes cash for clunkers effect, or more used Evs from high sales counties transferred over</t>
  </si>
  <si>
    <t>`</t>
  </si>
  <si>
    <t>…</t>
  </si>
  <si>
    <t>assuming no ev's retire or leave the county</t>
  </si>
  <si>
    <t>Assume accelerated turnover and no ev's retire or leave county</t>
  </si>
  <si>
    <t>For floor/laggard counties e.g. low EV sales and low turnover (12 year 50% turnover)</t>
  </si>
  <si>
    <t>fast track: 100 by 2030</t>
  </si>
  <si>
    <t>linear to</t>
  </si>
  <si>
    <t>% stock turnover</t>
  </si>
  <si>
    <t>For ceiling/leading e.g. San Francisco Bay Area (high EV sales and high turnover (7 year 50% turnover))</t>
  </si>
  <si>
    <t>slower track: 100 by 2035 (CA ZEV)</t>
  </si>
  <si>
    <t>accelerated</t>
  </si>
  <si>
    <t>high/fast</t>
  </si>
  <si>
    <t>Assume fast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</si>
</sst>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6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771525</xdr:colOff>
      <xdr:row>12</xdr:row>
      <xdr:rowOff>28575</xdr:rowOff>
    </xdr:from>
    <xdr:to>
      <xdr:col>8</xdr:col>
      <xdr:colOff>647699</xdr:colOff>
      <xdr:row>13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CB43AF9-0B43-FB25-9CE3-1E27D4405475}"/>
            </a:ext>
          </a:extLst>
        </xdr:cNvPr>
        <xdr:cNvSpPr/>
      </xdr:nvSpPr>
      <xdr:spPr>
        <a:xfrm>
          <a:off x="4657725" y="2314575"/>
          <a:ext cx="2857499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High sales disparity + current age disparity</a:t>
          </a:r>
        </a:p>
      </xdr:txBody>
    </xdr:sp>
    <xdr:clientData/>
  </xdr:twoCellAnchor>
  <xdr:twoCellAnchor>
    <xdr:from>
      <xdr:col>5</xdr:col>
      <xdr:colOff>876300</xdr:colOff>
      <xdr:row>26</xdr:row>
      <xdr:rowOff>76200</xdr:rowOff>
    </xdr:from>
    <xdr:to>
      <xdr:col>8</xdr:col>
      <xdr:colOff>742950</xdr:colOff>
      <xdr:row>27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7BFCCD0-98F0-4A90-A7DF-BE8D7E26498D}"/>
            </a:ext>
          </a:extLst>
        </xdr:cNvPr>
        <xdr:cNvSpPr/>
      </xdr:nvSpPr>
      <xdr:spPr>
        <a:xfrm>
          <a:off x="4762500" y="5029200"/>
          <a:ext cx="2847975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Lower sales disparity + current age disparity</a:t>
          </a:r>
        </a:p>
      </xdr:txBody>
    </xdr:sp>
    <xdr:clientData/>
  </xdr:twoCellAnchor>
  <xdr:twoCellAnchor>
    <xdr:from>
      <xdr:col>5</xdr:col>
      <xdr:colOff>1238249</xdr:colOff>
      <xdr:row>13</xdr:row>
      <xdr:rowOff>180975</xdr:rowOff>
    </xdr:from>
    <xdr:to>
      <xdr:col>14</xdr:col>
      <xdr:colOff>552450</xdr:colOff>
      <xdr:row>15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B8A4EF2-7218-44A2-985B-5004DBEBED8E}"/>
            </a:ext>
          </a:extLst>
        </xdr:cNvPr>
        <xdr:cNvSpPr/>
      </xdr:nvSpPr>
      <xdr:spPr>
        <a:xfrm>
          <a:off x="5124449" y="2657475"/>
          <a:ext cx="7486651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High sales disparity</a:t>
          </a:r>
          <a:r>
            <a:rPr lang="en-US" sz="1100" baseline="0"/>
            <a:t> + </a:t>
          </a:r>
          <a:r>
            <a:rPr lang="en-US" sz="1100"/>
            <a:t>no age disparity (</a:t>
          </a:r>
          <a:r>
            <a:rPr lang="en-US" sz="1100" baseline="0"/>
            <a:t>turnover in counties with traditionally older vehicles as fast as in "young" counties)</a:t>
          </a:r>
          <a:endParaRPr lang="en-US" sz="1100"/>
        </a:p>
      </xdr:txBody>
    </xdr:sp>
    <xdr:clientData/>
  </xdr:twoCellAnchor>
  <xdr:twoCellAnchor>
    <xdr:from>
      <xdr:col>5</xdr:col>
      <xdr:colOff>1276348</xdr:colOff>
      <xdr:row>28</xdr:row>
      <xdr:rowOff>19050</xdr:rowOff>
    </xdr:from>
    <xdr:to>
      <xdr:col>14</xdr:col>
      <xdr:colOff>342899</xdr:colOff>
      <xdr:row>29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C32FA12-E7C2-4D04-AEF9-D23C3AC0C344}"/>
            </a:ext>
          </a:extLst>
        </xdr:cNvPr>
        <xdr:cNvSpPr/>
      </xdr:nvSpPr>
      <xdr:spPr>
        <a:xfrm>
          <a:off x="5162548" y="5353050"/>
          <a:ext cx="7239001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Lower sales disparity +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age disparity (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turnover in counties with traditionally older vehicles as fast as in "young" counties)</a:t>
          </a:r>
          <a:endParaRPr lang="en-US" sz="1100"/>
        </a:p>
      </xdr:txBody>
    </xdr:sp>
    <xdr:clientData/>
  </xdr:twoCellAnchor>
  <xdr:twoCellAnchor>
    <xdr:from>
      <xdr:col>5</xdr:col>
      <xdr:colOff>66675</xdr:colOff>
      <xdr:row>11</xdr:row>
      <xdr:rowOff>152400</xdr:rowOff>
    </xdr:from>
    <xdr:to>
      <xdr:col>5</xdr:col>
      <xdr:colOff>771525</xdr:colOff>
      <xdr:row>12</xdr:row>
      <xdr:rowOff>166688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5DEF347-9F7C-5D2A-C192-1E1F45FC28B1}"/>
            </a:ext>
          </a:extLst>
        </xdr:cNvPr>
        <xdr:cNvCxnSpPr>
          <a:stCxn id="3" idx="1"/>
        </xdr:cNvCxnSpPr>
      </xdr:nvCxnSpPr>
      <xdr:spPr>
        <a:xfrm flipH="1" flipV="1">
          <a:off x="3952875" y="2247900"/>
          <a:ext cx="704850" cy="204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647699</xdr:colOff>
      <xdr:row>12</xdr:row>
      <xdr:rowOff>28575</xdr:rowOff>
    </xdr:from>
    <xdr:to>
      <xdr:col>10</xdr:col>
      <xdr:colOff>19050</xdr:colOff>
      <xdr:row>12</xdr:row>
      <xdr:rowOff>166688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EAEE062-CDEB-3107-D8E3-72D7E1904EE6}"/>
            </a:ext>
          </a:extLst>
        </xdr:cNvPr>
        <xdr:cNvCxnSpPr>
          <a:stCxn id="3" idx="3"/>
        </xdr:cNvCxnSpPr>
      </xdr:nvCxnSpPr>
      <xdr:spPr>
        <a:xfrm flipV="1">
          <a:off x="7515224" y="2314575"/>
          <a:ext cx="1038226" cy="1381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12</xdr:row>
      <xdr:rowOff>66675</xdr:rowOff>
    </xdr:from>
    <xdr:to>
      <xdr:col>5</xdr:col>
      <xdr:colOff>1238249</xdr:colOff>
      <xdr:row>14</xdr:row>
      <xdr:rowOff>128588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61EEE40-FA82-EB17-06E7-107AF0A82179}"/>
            </a:ext>
          </a:extLst>
        </xdr:cNvPr>
        <xdr:cNvCxnSpPr>
          <a:stCxn id="5" idx="1"/>
        </xdr:cNvCxnSpPr>
      </xdr:nvCxnSpPr>
      <xdr:spPr>
        <a:xfrm flipH="1" flipV="1">
          <a:off x="3905250" y="2352675"/>
          <a:ext cx="1219199" cy="4429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552450</xdr:colOff>
      <xdr:row>12</xdr:row>
      <xdr:rowOff>104775</xdr:rowOff>
    </xdr:from>
    <xdr:to>
      <xdr:col>16</xdr:col>
      <xdr:colOff>361950</xdr:colOff>
      <xdr:row>14</xdr:row>
      <xdr:rowOff>128588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FBCA72C-8BAF-ABC1-6259-56CD40C3FCDB}"/>
            </a:ext>
          </a:extLst>
        </xdr:cNvPr>
        <xdr:cNvCxnSpPr>
          <a:stCxn id="5" idx="3"/>
        </xdr:cNvCxnSpPr>
      </xdr:nvCxnSpPr>
      <xdr:spPr>
        <a:xfrm flipV="1">
          <a:off x="12611100" y="2390775"/>
          <a:ext cx="1333500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25</xdr:row>
      <xdr:rowOff>171450</xdr:rowOff>
    </xdr:from>
    <xdr:to>
      <xdr:col>5</xdr:col>
      <xdr:colOff>876300</xdr:colOff>
      <xdr:row>27</xdr:row>
      <xdr:rowOff>23813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9A91CF9-405E-024B-9697-B2452CBCF334}"/>
            </a:ext>
          </a:extLst>
        </xdr:cNvPr>
        <xdr:cNvCxnSpPr>
          <a:stCxn id="4" idx="1"/>
        </xdr:cNvCxnSpPr>
      </xdr:nvCxnSpPr>
      <xdr:spPr>
        <a:xfrm flipH="1" flipV="1">
          <a:off x="3952875" y="4933950"/>
          <a:ext cx="809625" cy="2333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26</xdr:row>
      <xdr:rowOff>57150</xdr:rowOff>
    </xdr:from>
    <xdr:to>
      <xdr:col>10</xdr:col>
      <xdr:colOff>114300</xdr:colOff>
      <xdr:row>27</xdr:row>
      <xdr:rowOff>23813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0703E38-4F7E-FBF6-ADC3-D56E3BDE4277}"/>
            </a:ext>
          </a:extLst>
        </xdr:cNvPr>
        <xdr:cNvCxnSpPr>
          <a:stCxn id="4" idx="3"/>
        </xdr:cNvCxnSpPr>
      </xdr:nvCxnSpPr>
      <xdr:spPr>
        <a:xfrm flipV="1">
          <a:off x="7610475" y="5010150"/>
          <a:ext cx="1038225" cy="157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123825</xdr:rowOff>
    </xdr:from>
    <xdr:to>
      <xdr:col>5</xdr:col>
      <xdr:colOff>1276348</xdr:colOff>
      <xdr:row>28</xdr:row>
      <xdr:rowOff>157163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A51343-232F-616B-3D8A-7DA80C30352D}"/>
            </a:ext>
          </a:extLst>
        </xdr:cNvPr>
        <xdr:cNvCxnSpPr>
          <a:stCxn id="6" idx="1"/>
        </xdr:cNvCxnSpPr>
      </xdr:nvCxnSpPr>
      <xdr:spPr>
        <a:xfrm flipH="1" flipV="1">
          <a:off x="3886200" y="5076825"/>
          <a:ext cx="1276348" cy="4143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342899</xdr:colOff>
      <xdr:row>26</xdr:row>
      <xdr:rowOff>76200</xdr:rowOff>
    </xdr:from>
    <xdr:to>
      <xdr:col>16</xdr:col>
      <xdr:colOff>428625</xdr:colOff>
      <xdr:row>28</xdr:row>
      <xdr:rowOff>157163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82B5CB4-C6C9-6AF7-F093-6F45113EF5BB}"/>
            </a:ext>
          </a:extLst>
        </xdr:cNvPr>
        <xdr:cNvCxnSpPr>
          <a:stCxn id="6" idx="3"/>
        </xdr:cNvCxnSpPr>
      </xdr:nvCxnSpPr>
      <xdr:spPr>
        <a:xfrm flipV="1">
          <a:off x="12401549" y="5029200"/>
          <a:ext cx="1609726" cy="461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41</xdr:row>
      <xdr:rowOff>28576</xdr:rowOff>
    </xdr:from>
    <xdr:to>
      <xdr:col>9</xdr:col>
      <xdr:colOff>257175</xdr:colOff>
      <xdr:row>43</xdr:row>
      <xdr:rowOff>104776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48A656F-3997-41C3-9D12-299D1BEB3716}"/>
            </a:ext>
          </a:extLst>
        </xdr:cNvPr>
        <xdr:cNvSpPr/>
      </xdr:nvSpPr>
      <xdr:spPr>
        <a:xfrm>
          <a:off x="4419600" y="8220076"/>
          <a:ext cx="396240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High/fast</a:t>
          </a:r>
          <a:r>
            <a:rPr lang="en-US" sz="1100" baseline="0"/>
            <a:t> EV sales, low sales disparity, </a:t>
          </a:r>
        </a:p>
        <a:p>
          <a:pPr algn="ctr"/>
          <a:r>
            <a:rPr lang="en-US" sz="1100" baseline="0"/>
            <a:t>+ </a:t>
          </a:r>
          <a:r>
            <a:rPr lang="en-US" sz="1100"/>
            <a:t>accelerated turnover in both, with maintained age disparity</a:t>
          </a:r>
        </a:p>
      </xdr:txBody>
    </xdr:sp>
    <xdr:clientData/>
  </xdr:twoCellAnchor>
  <xdr:twoCellAnchor>
    <xdr:from>
      <xdr:col>5</xdr:col>
      <xdr:colOff>66675</xdr:colOff>
      <xdr:row>40</xdr:row>
      <xdr:rowOff>171450</xdr:rowOff>
    </xdr:from>
    <xdr:to>
      <xdr:col>5</xdr:col>
      <xdr:colOff>533400</xdr:colOff>
      <xdr:row>42</xdr:row>
      <xdr:rowOff>66676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D793755-1981-4E04-AD31-47B0DEE73D26}"/>
            </a:ext>
          </a:extLst>
        </xdr:cNvPr>
        <xdr:cNvCxnSpPr>
          <a:stCxn id="23" idx="1"/>
        </xdr:cNvCxnSpPr>
      </xdr:nvCxnSpPr>
      <xdr:spPr>
        <a:xfrm flipH="1" flipV="1">
          <a:off x="3952875" y="8172450"/>
          <a:ext cx="466725" cy="276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41</xdr:row>
      <xdr:rowOff>57150</xdr:rowOff>
    </xdr:from>
    <xdr:to>
      <xdr:col>10</xdr:col>
      <xdr:colOff>114300</xdr:colOff>
      <xdr:row>42</xdr:row>
      <xdr:rowOff>66676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D8D9398-1B82-48B3-AFDC-922F3ACAF744}"/>
            </a:ext>
          </a:extLst>
        </xdr:cNvPr>
        <xdr:cNvCxnSpPr>
          <a:stCxn id="23" idx="3"/>
        </xdr:cNvCxnSpPr>
      </xdr:nvCxnSpPr>
      <xdr:spPr>
        <a:xfrm flipV="1">
          <a:off x="8382000" y="8248650"/>
          <a:ext cx="466725" cy="200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1123949</xdr:colOff>
      <xdr:row>44</xdr:row>
      <xdr:rowOff>1</xdr:rowOff>
    </xdr:from>
    <xdr:to>
      <xdr:col>9</xdr:col>
      <xdr:colOff>609599</xdr:colOff>
      <xdr:row>46</xdr:row>
      <xdr:rowOff>76201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E0CD530-9044-45D1-A11F-0259F5DCF93E}"/>
            </a:ext>
          </a:extLst>
        </xdr:cNvPr>
        <xdr:cNvSpPr/>
      </xdr:nvSpPr>
      <xdr:spPr>
        <a:xfrm>
          <a:off x="5010149" y="8763001"/>
          <a:ext cx="3724275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High/fast</a:t>
          </a:r>
          <a:r>
            <a:rPr lang="en-US" sz="1100" baseline="0"/>
            <a:t> EV sales in both, minimal sales disparity, </a:t>
          </a:r>
        </a:p>
        <a:p>
          <a:pPr algn="ctr"/>
          <a:r>
            <a:rPr lang="en-US" sz="1100" baseline="0"/>
            <a:t>+ </a:t>
          </a:r>
          <a:r>
            <a:rPr lang="en-US" sz="1100"/>
            <a:t>accelerated turnover in both, and no age disparity</a:t>
          </a:r>
        </a:p>
      </xdr:txBody>
    </xdr:sp>
    <xdr:clientData/>
  </xdr:twoCellAnchor>
  <xdr:twoCellAnchor>
    <xdr:from>
      <xdr:col>4</xdr:col>
      <xdr:colOff>533400</xdr:colOff>
      <xdr:row>41</xdr:row>
      <xdr:rowOff>95250</xdr:rowOff>
    </xdr:from>
    <xdr:to>
      <xdr:col>5</xdr:col>
      <xdr:colOff>1123949</xdr:colOff>
      <xdr:row>45</xdr:row>
      <xdr:rowOff>38101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40235C5-0ECC-4355-BACE-8487CE6628C5}"/>
            </a:ext>
          </a:extLst>
        </xdr:cNvPr>
        <xdr:cNvCxnSpPr>
          <a:stCxn id="47" idx="1"/>
        </xdr:cNvCxnSpPr>
      </xdr:nvCxnSpPr>
      <xdr:spPr>
        <a:xfrm flipH="1" flipV="1">
          <a:off x="3810000" y="8286750"/>
          <a:ext cx="1200149" cy="7048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609599</xdr:colOff>
      <xdr:row>41</xdr:row>
      <xdr:rowOff>76200</xdr:rowOff>
    </xdr:from>
    <xdr:to>
      <xdr:col>15</xdr:col>
      <xdr:colOff>581025</xdr:colOff>
      <xdr:row>45</xdr:row>
      <xdr:rowOff>38101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4A146B24-AF49-4CAF-BC21-3619EEBFDE8B}"/>
            </a:ext>
          </a:extLst>
        </xdr:cNvPr>
        <xdr:cNvCxnSpPr>
          <a:stCxn id="47" idx="3"/>
        </xdr:cNvCxnSpPr>
      </xdr:nvCxnSpPr>
      <xdr:spPr>
        <a:xfrm flipV="1">
          <a:off x="8734424" y="8267700"/>
          <a:ext cx="4819651" cy="7239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1779-0760-4A72-A42D-D67E93E2759B}">
  <dimension ref="A1:Q41"/>
  <sheetViews>
    <sheetView tabSelected="1" workbookViewId="0">
      <selection activeCell="E4" sqref="E4"/>
    </sheetView>
  </sheetViews>
  <sheetFormatPr defaultRowHeight="15" x14ac:dyDescent="0.25"/>
  <cols>
    <col min="2" max="2" width="15.85546875" customWidth="1"/>
    <col min="3" max="3" width="15" customWidth="1"/>
    <col min="6" max="6" width="33.5703125" customWidth="1"/>
    <col min="8" max="9" width="15.85546875" customWidth="1"/>
    <col min="12" max="12" width="17.85546875" customWidth="1"/>
    <col min="14" max="15" width="13.7109375" customWidth="1"/>
  </cols>
  <sheetData>
    <row r="1" spans="1:17" x14ac:dyDescent="0.25">
      <c r="A1" s="8" t="s">
        <v>15</v>
      </c>
      <c r="G1" s="8" t="s">
        <v>11</v>
      </c>
      <c r="M1" s="8" t="s">
        <v>5</v>
      </c>
    </row>
    <row r="2" spans="1:17" x14ac:dyDescent="0.25">
      <c r="C2" t="s">
        <v>9</v>
      </c>
      <c r="H2" s="4" t="s">
        <v>4</v>
      </c>
      <c r="I2" s="4"/>
      <c r="J2" s="4"/>
      <c r="K2" s="4"/>
      <c r="M2" s="4" t="s">
        <v>6</v>
      </c>
      <c r="N2" s="4"/>
      <c r="O2" s="4"/>
      <c r="P2" s="4"/>
      <c r="Q2" s="4"/>
    </row>
    <row r="3" spans="1:17" x14ac:dyDescent="0.25">
      <c r="B3" t="s">
        <v>12</v>
      </c>
      <c r="H3" s="4"/>
      <c r="I3" s="4"/>
      <c r="J3" s="4"/>
      <c r="K3" s="4"/>
      <c r="M3" s="4"/>
      <c r="N3" s="4"/>
      <c r="O3" s="4"/>
      <c r="P3" s="4"/>
      <c r="Q3" s="4"/>
    </row>
    <row r="4" spans="1:17" x14ac:dyDescent="0.25">
      <c r="A4" t="s">
        <v>1</v>
      </c>
      <c r="B4" t="s">
        <v>0</v>
      </c>
      <c r="C4" t="s">
        <v>14</v>
      </c>
      <c r="D4" t="s">
        <v>2</v>
      </c>
      <c r="E4" t="s">
        <v>3</v>
      </c>
      <c r="G4" t="s">
        <v>1</v>
      </c>
      <c r="H4" t="s">
        <v>0</v>
      </c>
      <c r="I4" t="s">
        <v>14</v>
      </c>
      <c r="J4" t="s">
        <v>2</v>
      </c>
      <c r="K4" t="s">
        <v>3</v>
      </c>
      <c r="M4" t="s">
        <v>1</v>
      </c>
      <c r="N4" t="s">
        <v>0</v>
      </c>
      <c r="O4" t="s">
        <v>14</v>
      </c>
      <c r="P4" t="s">
        <v>2</v>
      </c>
      <c r="Q4" t="s">
        <v>3</v>
      </c>
    </row>
    <row r="5" spans="1:17" x14ac:dyDescent="0.25">
      <c r="A5">
        <v>2023</v>
      </c>
      <c r="B5">
        <v>30</v>
      </c>
      <c r="C5" s="3">
        <f>50/7</f>
        <v>7.1428571428571432</v>
      </c>
      <c r="D5" s="1">
        <v>95</v>
      </c>
      <c r="E5" s="1">
        <v>5</v>
      </c>
      <c r="G5">
        <v>2023</v>
      </c>
      <c r="H5">
        <v>1</v>
      </c>
      <c r="I5" s="3">
        <f>50/12</f>
        <v>4.166666666666667</v>
      </c>
      <c r="J5" s="1">
        <v>100</v>
      </c>
      <c r="K5" s="1">
        <v>0</v>
      </c>
      <c r="M5">
        <v>2023</v>
      </c>
      <c r="N5">
        <v>1</v>
      </c>
      <c r="O5" s="3">
        <f t="shared" ref="O5:O12" si="0">+C5</f>
        <v>7.1428571428571432</v>
      </c>
      <c r="P5" s="1">
        <v>100</v>
      </c>
      <c r="Q5" s="1">
        <v>0</v>
      </c>
    </row>
    <row r="6" spans="1:17" x14ac:dyDescent="0.25">
      <c r="A6">
        <v>2024</v>
      </c>
      <c r="B6">
        <v>40</v>
      </c>
      <c r="C6" s="3">
        <f t="shared" ref="C6:C12" si="1">50/7</f>
        <v>7.1428571428571432</v>
      </c>
      <c r="D6" s="1">
        <f>D5-C5+(1-B5/100)*C5</f>
        <v>92.857142857142861</v>
      </c>
      <c r="E6" s="1">
        <f>E5+(B5/100)*C5</f>
        <v>7.1428571428571423</v>
      </c>
      <c r="G6">
        <v>2024</v>
      </c>
      <c r="H6">
        <f t="shared" ref="H6:H12" si="2">+H5+1.4</f>
        <v>2.4</v>
      </c>
      <c r="I6" s="3">
        <f t="shared" ref="I6:I12" si="3">50/12</f>
        <v>4.166666666666667</v>
      </c>
      <c r="J6" s="1">
        <f>J5-I5+(1-H5/100)*I5</f>
        <v>99.958333333333329</v>
      </c>
      <c r="K6" s="1">
        <f>K5+(H5/100)*I5</f>
        <v>4.1666666666666671E-2</v>
      </c>
      <c r="M6">
        <v>2024</v>
      </c>
      <c r="N6">
        <f t="shared" ref="N6:N12" si="4">+N5+1.4</f>
        <v>2.4</v>
      </c>
      <c r="O6" s="3">
        <f t="shared" si="0"/>
        <v>7.1428571428571432</v>
      </c>
      <c r="P6" s="1">
        <f>P5-O5+(1-N5/100)*O5</f>
        <v>99.928571428571431</v>
      </c>
      <c r="Q6" s="1">
        <f>Q5+(N5/100)*O5</f>
        <v>7.1428571428571438E-2</v>
      </c>
    </row>
    <row r="7" spans="1:17" x14ac:dyDescent="0.25">
      <c r="A7">
        <v>2025</v>
      </c>
      <c r="B7">
        <v>50</v>
      </c>
      <c r="C7" s="3">
        <f t="shared" si="1"/>
        <v>7.1428571428571432</v>
      </c>
      <c r="D7" s="1">
        <f t="shared" ref="D7:D12" si="5">D6-C6+(1-B6/100)*C6</f>
        <v>90.000000000000014</v>
      </c>
      <c r="E7" s="1">
        <f t="shared" ref="E7:E12" si="6">E6+(B6/100)*C6</f>
        <v>10</v>
      </c>
      <c r="G7">
        <v>2025</v>
      </c>
      <c r="H7">
        <f t="shared" si="2"/>
        <v>3.8</v>
      </c>
      <c r="I7" s="3">
        <f t="shared" si="3"/>
        <v>4.166666666666667</v>
      </c>
      <c r="J7" s="1">
        <f t="shared" ref="J7:J12" si="7">J6-I6+(1-H6/100)*I6</f>
        <v>99.85833333333332</v>
      </c>
      <c r="K7" s="1">
        <f t="shared" ref="K7:K12" si="8">K6+(H6/100)*I6</f>
        <v>0.14166666666666666</v>
      </c>
      <c r="M7">
        <v>2025</v>
      </c>
      <c r="N7">
        <f t="shared" si="4"/>
        <v>3.8</v>
      </c>
      <c r="O7" s="3">
        <f t="shared" si="0"/>
        <v>7.1428571428571432</v>
      </c>
      <c r="P7" s="1">
        <f t="shared" ref="P7:P12" si="9">P6-O6+(1-N6/100)*O6</f>
        <v>99.757142857142867</v>
      </c>
      <c r="Q7" s="1">
        <f t="shared" ref="Q7:Q12" si="10">Q6+(N6/100)*O6</f>
        <v>0.24285714285714288</v>
      </c>
    </row>
    <row r="8" spans="1:17" x14ac:dyDescent="0.25">
      <c r="A8">
        <v>2026</v>
      </c>
      <c r="B8">
        <v>60</v>
      </c>
      <c r="C8" s="3">
        <f t="shared" si="1"/>
        <v>7.1428571428571432</v>
      </c>
      <c r="D8" s="1">
        <f t="shared" si="5"/>
        <v>86.428571428571445</v>
      </c>
      <c r="E8" s="1">
        <f t="shared" si="6"/>
        <v>13.571428571428571</v>
      </c>
      <c r="G8">
        <v>2026</v>
      </c>
      <c r="H8">
        <f t="shared" si="2"/>
        <v>5.1999999999999993</v>
      </c>
      <c r="I8" s="3">
        <f t="shared" si="3"/>
        <v>4.166666666666667</v>
      </c>
      <c r="J8" s="1">
        <f t="shared" si="7"/>
        <v>99.699999999999989</v>
      </c>
      <c r="K8" s="1">
        <f t="shared" si="8"/>
        <v>0.30000000000000004</v>
      </c>
      <c r="M8">
        <v>2026</v>
      </c>
      <c r="N8">
        <f t="shared" si="4"/>
        <v>5.1999999999999993</v>
      </c>
      <c r="O8" s="3">
        <f t="shared" si="0"/>
        <v>7.1428571428571432</v>
      </c>
      <c r="P8" s="1">
        <f t="shared" si="9"/>
        <v>99.485714285714295</v>
      </c>
      <c r="Q8" s="1">
        <f t="shared" si="10"/>
        <v>0.51428571428571435</v>
      </c>
    </row>
    <row r="9" spans="1:17" x14ac:dyDescent="0.25">
      <c r="A9">
        <v>2027</v>
      </c>
      <c r="B9">
        <v>70</v>
      </c>
      <c r="C9" s="3">
        <f t="shared" si="1"/>
        <v>7.1428571428571432</v>
      </c>
      <c r="D9" s="1">
        <f t="shared" si="5"/>
        <v>82.142857142857167</v>
      </c>
      <c r="E9" s="1">
        <f t="shared" si="6"/>
        <v>17.857142857142858</v>
      </c>
      <c r="G9">
        <v>2027</v>
      </c>
      <c r="H9">
        <f t="shared" si="2"/>
        <v>6.6</v>
      </c>
      <c r="I9" s="3">
        <f t="shared" si="3"/>
        <v>4.166666666666667</v>
      </c>
      <c r="J9" s="1">
        <f t="shared" si="7"/>
        <v>99.48333333333332</v>
      </c>
      <c r="K9" s="1">
        <f t="shared" si="8"/>
        <v>0.51666666666666672</v>
      </c>
      <c r="M9">
        <v>2027</v>
      </c>
      <c r="N9">
        <f t="shared" si="4"/>
        <v>6.6</v>
      </c>
      <c r="O9" s="3">
        <f t="shared" si="0"/>
        <v>7.1428571428571432</v>
      </c>
      <c r="P9" s="1">
        <f t="shared" si="9"/>
        <v>99.114285714285728</v>
      </c>
      <c r="Q9" s="1">
        <f t="shared" si="10"/>
        <v>0.88571428571428568</v>
      </c>
    </row>
    <row r="10" spans="1:17" x14ac:dyDescent="0.25">
      <c r="A10">
        <v>2028</v>
      </c>
      <c r="B10">
        <v>80</v>
      </c>
      <c r="C10" s="3">
        <f t="shared" si="1"/>
        <v>7.1428571428571432</v>
      </c>
      <c r="D10" s="1">
        <f t="shared" si="5"/>
        <v>77.142857142857167</v>
      </c>
      <c r="E10" s="1">
        <f t="shared" si="6"/>
        <v>22.857142857142858</v>
      </c>
      <c r="F10" t="s">
        <v>7</v>
      </c>
      <c r="G10">
        <v>2028</v>
      </c>
      <c r="H10">
        <f t="shared" si="2"/>
        <v>8</v>
      </c>
      <c r="I10" s="3">
        <f t="shared" si="3"/>
        <v>4.166666666666667</v>
      </c>
      <c r="J10" s="1">
        <f t="shared" si="7"/>
        <v>99.208333333333314</v>
      </c>
      <c r="K10" s="1">
        <f t="shared" si="8"/>
        <v>0.79166666666666674</v>
      </c>
      <c r="M10">
        <v>2028</v>
      </c>
      <c r="N10">
        <f t="shared" si="4"/>
        <v>8</v>
      </c>
      <c r="O10" s="3">
        <f t="shared" si="0"/>
        <v>7.1428571428571432</v>
      </c>
      <c r="P10" s="1">
        <f t="shared" si="9"/>
        <v>98.642857142857167</v>
      </c>
      <c r="Q10" s="1">
        <f t="shared" si="10"/>
        <v>1.3571428571428572</v>
      </c>
    </row>
    <row r="11" spans="1:17" x14ac:dyDescent="0.25">
      <c r="A11">
        <v>2029</v>
      </c>
      <c r="B11">
        <v>90</v>
      </c>
      <c r="C11" s="3">
        <f t="shared" si="1"/>
        <v>7.1428571428571432</v>
      </c>
      <c r="D11" s="1">
        <f t="shared" si="5"/>
        <v>71.428571428571459</v>
      </c>
      <c r="E11" s="1">
        <f t="shared" si="6"/>
        <v>28.571428571428573</v>
      </c>
      <c r="G11">
        <v>2029</v>
      </c>
      <c r="H11">
        <f t="shared" si="2"/>
        <v>9.4</v>
      </c>
      <c r="I11" s="3">
        <f t="shared" si="3"/>
        <v>4.166666666666667</v>
      </c>
      <c r="J11" s="1">
        <f t="shared" si="7"/>
        <v>98.874999999999972</v>
      </c>
      <c r="K11" s="1">
        <f t="shared" si="8"/>
        <v>1.125</v>
      </c>
      <c r="M11">
        <v>2029</v>
      </c>
      <c r="N11">
        <f t="shared" si="4"/>
        <v>9.4</v>
      </c>
      <c r="O11" s="3">
        <f t="shared" si="0"/>
        <v>7.1428571428571432</v>
      </c>
      <c r="P11" s="1">
        <f t="shared" si="9"/>
        <v>98.071428571428598</v>
      </c>
      <c r="Q11" s="1">
        <f t="shared" si="10"/>
        <v>1.9285714285714288</v>
      </c>
    </row>
    <row r="12" spans="1:17" x14ac:dyDescent="0.25">
      <c r="A12">
        <v>2030</v>
      </c>
      <c r="B12">
        <v>100</v>
      </c>
      <c r="C12" s="3">
        <f t="shared" si="1"/>
        <v>7.1428571428571432</v>
      </c>
      <c r="D12" s="1">
        <f t="shared" si="5"/>
        <v>65.000000000000028</v>
      </c>
      <c r="E12" s="2">
        <f t="shared" si="6"/>
        <v>35</v>
      </c>
      <c r="G12">
        <v>2030</v>
      </c>
      <c r="H12">
        <f t="shared" si="2"/>
        <v>10.8</v>
      </c>
      <c r="I12" s="3">
        <f t="shared" si="3"/>
        <v>4.166666666666667</v>
      </c>
      <c r="J12" s="1">
        <f t="shared" si="7"/>
        <v>98.483333333333306</v>
      </c>
      <c r="K12" s="2">
        <f t="shared" si="8"/>
        <v>1.5166666666666666</v>
      </c>
      <c r="M12">
        <v>2030</v>
      </c>
      <c r="N12">
        <f t="shared" si="4"/>
        <v>10.8</v>
      </c>
      <c r="O12" s="3">
        <f t="shared" si="0"/>
        <v>7.1428571428571432</v>
      </c>
      <c r="P12" s="1">
        <f t="shared" si="9"/>
        <v>97.400000000000034</v>
      </c>
      <c r="Q12" s="2">
        <f t="shared" si="10"/>
        <v>2.6000000000000005</v>
      </c>
    </row>
    <row r="13" spans="1:17" s="5" customFormat="1" x14ac:dyDescent="0.25">
      <c r="A13" s="5" t="s">
        <v>8</v>
      </c>
      <c r="C13" s="6"/>
      <c r="D13" s="7"/>
      <c r="E13" s="7"/>
      <c r="I13" s="6"/>
      <c r="J13" s="7"/>
      <c r="K13" s="7"/>
      <c r="O13" s="6"/>
      <c r="P13" s="7"/>
      <c r="Q13" s="7"/>
    </row>
    <row r="14" spans="1:17" s="5" customFormat="1" x14ac:dyDescent="0.25">
      <c r="A14" s="5">
        <v>2035</v>
      </c>
      <c r="B14" s="5">
        <v>100</v>
      </c>
      <c r="C14" s="6"/>
      <c r="D14" s="7"/>
      <c r="E14" s="7"/>
      <c r="I14" s="6"/>
      <c r="J14" s="7"/>
      <c r="K14" s="7"/>
      <c r="O14" s="6"/>
      <c r="P14" s="7"/>
      <c r="Q14" s="7"/>
    </row>
    <row r="15" spans="1:17" s="5" customFormat="1" x14ac:dyDescent="0.25">
      <c r="C15" s="6"/>
      <c r="D15" s="7"/>
      <c r="E15" s="7"/>
      <c r="I15" s="6"/>
      <c r="J15" s="7"/>
      <c r="K15" s="7"/>
      <c r="O15" s="6"/>
      <c r="P15" s="7"/>
      <c r="Q15" s="7"/>
    </row>
    <row r="17" spans="1:17" x14ac:dyDescent="0.25">
      <c r="B17" t="s">
        <v>16</v>
      </c>
    </row>
    <row r="18" spans="1:17" x14ac:dyDescent="0.25">
      <c r="A18" t="s">
        <v>1</v>
      </c>
      <c r="B18" t="s">
        <v>0</v>
      </c>
      <c r="C18" t="s">
        <v>14</v>
      </c>
      <c r="D18" t="s">
        <v>2</v>
      </c>
      <c r="E18" t="s">
        <v>3</v>
      </c>
      <c r="G18" t="s">
        <v>1</v>
      </c>
      <c r="H18" t="s">
        <v>0</v>
      </c>
      <c r="I18" t="s">
        <v>14</v>
      </c>
      <c r="J18" t="s">
        <v>2</v>
      </c>
      <c r="K18" t="s">
        <v>3</v>
      </c>
      <c r="M18" t="s">
        <v>1</v>
      </c>
      <c r="N18" t="s">
        <v>0</v>
      </c>
      <c r="O18" t="s">
        <v>14</v>
      </c>
      <c r="P18" t="s">
        <v>2</v>
      </c>
      <c r="Q18" t="s">
        <v>3</v>
      </c>
    </row>
    <row r="19" spans="1:17" x14ac:dyDescent="0.25">
      <c r="A19">
        <v>2023</v>
      </c>
      <c r="B19">
        <v>30</v>
      </c>
      <c r="C19" s="3">
        <f>50/7</f>
        <v>7.1428571428571432</v>
      </c>
      <c r="D19" s="1">
        <v>95</v>
      </c>
      <c r="E19" s="1">
        <v>5</v>
      </c>
      <c r="G19">
        <v>2023</v>
      </c>
      <c r="H19">
        <v>1</v>
      </c>
      <c r="I19" s="3">
        <f>50/12</f>
        <v>4.166666666666667</v>
      </c>
      <c r="J19" s="1">
        <v>100</v>
      </c>
      <c r="K19" s="1">
        <v>0</v>
      </c>
      <c r="M19">
        <v>2023</v>
      </c>
      <c r="N19">
        <f>H19</f>
        <v>1</v>
      </c>
      <c r="O19" s="3">
        <f t="shared" ref="O19:O26" si="11">+C19</f>
        <v>7.1428571428571432</v>
      </c>
      <c r="P19" s="1">
        <v>100</v>
      </c>
      <c r="Q19" s="1">
        <v>0</v>
      </c>
    </row>
    <row r="20" spans="1:17" x14ac:dyDescent="0.25">
      <c r="A20">
        <v>2024</v>
      </c>
      <c r="B20">
        <v>36</v>
      </c>
      <c r="C20" s="3">
        <f t="shared" ref="C20:C26" si="12">50/7</f>
        <v>7.1428571428571432</v>
      </c>
      <c r="D20" s="1">
        <f>D19-C19+(1-B19/100)*C19</f>
        <v>92.857142857142861</v>
      </c>
      <c r="E20" s="1">
        <f>E19+(B19/100)*C19</f>
        <v>7.1428571428571423</v>
      </c>
      <c r="G20">
        <v>2024</v>
      </c>
      <c r="H20">
        <f t="shared" ref="H20:H25" si="13">+H19+4</f>
        <v>5</v>
      </c>
      <c r="I20" s="3">
        <f t="shared" ref="I20:I26" si="14">50/12</f>
        <v>4.166666666666667</v>
      </c>
      <c r="J20" s="1">
        <f>J19-I19+(1-H19/100)*I19</f>
        <v>99.958333333333329</v>
      </c>
      <c r="K20" s="1">
        <f>K19+(H19/100)*I19</f>
        <v>4.1666666666666671E-2</v>
      </c>
      <c r="M20">
        <v>2024</v>
      </c>
      <c r="N20">
        <f t="shared" ref="N20:N26" si="15">H20</f>
        <v>5</v>
      </c>
      <c r="O20" s="3">
        <f t="shared" si="11"/>
        <v>7.1428571428571432</v>
      </c>
      <c r="P20" s="1">
        <f>P19-O19+(1-N19/100)*O19</f>
        <v>99.928571428571431</v>
      </c>
      <c r="Q20" s="1">
        <f>Q19+(N19/100)*O19</f>
        <v>7.1428571428571438E-2</v>
      </c>
    </row>
    <row r="21" spans="1:17" x14ac:dyDescent="0.25">
      <c r="A21">
        <v>2025</v>
      </c>
      <c r="B21">
        <f>+B20+6</f>
        <v>42</v>
      </c>
      <c r="C21" s="3">
        <f t="shared" si="12"/>
        <v>7.1428571428571432</v>
      </c>
      <c r="D21" s="1">
        <f t="shared" ref="D21:D26" si="16">D20-C20+(1-B20/100)*C20</f>
        <v>90.285714285714292</v>
      </c>
      <c r="E21" s="1">
        <f t="shared" ref="E21:E26" si="17">E20+(B20/100)*C20</f>
        <v>9.7142857142857135</v>
      </c>
      <c r="G21">
        <v>2025</v>
      </c>
      <c r="H21">
        <f t="shared" si="13"/>
        <v>9</v>
      </c>
      <c r="I21" s="3">
        <f t="shared" si="14"/>
        <v>4.166666666666667</v>
      </c>
      <c r="J21" s="1">
        <f t="shared" ref="J21:J26" si="18">J20-I20+(1-H20/100)*I20</f>
        <v>99.749999999999986</v>
      </c>
      <c r="K21" s="1">
        <f t="shared" ref="K21:K26" si="19">K20+(H20/100)*I20</f>
        <v>0.25000000000000006</v>
      </c>
      <c r="M21">
        <v>2025</v>
      </c>
      <c r="N21">
        <f t="shared" si="15"/>
        <v>9</v>
      </c>
      <c r="O21" s="3">
        <f t="shared" si="11"/>
        <v>7.1428571428571432</v>
      </c>
      <c r="P21" s="1">
        <f t="shared" ref="P21:P26" si="20">P20-O20+(1-N20/100)*O20</f>
        <v>99.571428571428584</v>
      </c>
      <c r="Q21" s="1">
        <f t="shared" ref="Q21:Q26" si="21">Q20+(N20/100)*O20</f>
        <v>0.42857142857142866</v>
      </c>
    </row>
    <row r="22" spans="1:17" x14ac:dyDescent="0.25">
      <c r="A22">
        <v>2026</v>
      </c>
      <c r="B22">
        <f t="shared" ref="B22:B26" si="22">+B21+6</f>
        <v>48</v>
      </c>
      <c r="C22" s="3">
        <f t="shared" si="12"/>
        <v>7.1428571428571432</v>
      </c>
      <c r="D22" s="1">
        <f t="shared" si="16"/>
        <v>87.285714285714292</v>
      </c>
      <c r="E22" s="1">
        <f t="shared" si="17"/>
        <v>12.714285714285714</v>
      </c>
      <c r="G22">
        <v>2026</v>
      </c>
      <c r="H22">
        <f t="shared" si="13"/>
        <v>13</v>
      </c>
      <c r="I22" s="3">
        <f t="shared" si="14"/>
        <v>4.166666666666667</v>
      </c>
      <c r="J22" s="1">
        <f t="shared" si="18"/>
        <v>99.374999999999986</v>
      </c>
      <c r="K22" s="1">
        <f t="shared" si="19"/>
        <v>0.625</v>
      </c>
      <c r="M22">
        <v>2026</v>
      </c>
      <c r="N22">
        <f t="shared" si="15"/>
        <v>13</v>
      </c>
      <c r="O22" s="3">
        <f t="shared" si="11"/>
        <v>7.1428571428571432</v>
      </c>
      <c r="P22" s="1">
        <f t="shared" si="20"/>
        <v>98.928571428571445</v>
      </c>
      <c r="Q22" s="1">
        <f t="shared" si="21"/>
        <v>1.0714285714285716</v>
      </c>
    </row>
    <row r="23" spans="1:17" x14ac:dyDescent="0.25">
      <c r="A23">
        <v>2027</v>
      </c>
      <c r="B23">
        <f t="shared" si="22"/>
        <v>54</v>
      </c>
      <c r="C23" s="3">
        <f t="shared" si="12"/>
        <v>7.1428571428571432</v>
      </c>
      <c r="D23" s="1">
        <f t="shared" si="16"/>
        <v>83.857142857142861</v>
      </c>
      <c r="E23" s="1">
        <f t="shared" si="17"/>
        <v>16.142857142857142</v>
      </c>
      <c r="G23">
        <v>2027</v>
      </c>
      <c r="H23">
        <f t="shared" si="13"/>
        <v>17</v>
      </c>
      <c r="I23" s="3">
        <f t="shared" si="14"/>
        <v>4.166666666666667</v>
      </c>
      <c r="J23" s="1">
        <f t="shared" si="18"/>
        <v>98.833333333333314</v>
      </c>
      <c r="K23" s="1">
        <f t="shared" si="19"/>
        <v>1.1666666666666667</v>
      </c>
      <c r="M23">
        <v>2027</v>
      </c>
      <c r="N23">
        <f t="shared" si="15"/>
        <v>17</v>
      </c>
      <c r="O23" s="3">
        <f t="shared" si="11"/>
        <v>7.1428571428571432</v>
      </c>
      <c r="P23" s="1">
        <f t="shared" si="20"/>
        <v>98.000000000000014</v>
      </c>
      <c r="Q23" s="1">
        <f t="shared" si="21"/>
        <v>2</v>
      </c>
    </row>
    <row r="24" spans="1:17" x14ac:dyDescent="0.25">
      <c r="A24">
        <v>2028</v>
      </c>
      <c r="B24">
        <f t="shared" si="22"/>
        <v>60</v>
      </c>
      <c r="C24" s="3">
        <f t="shared" si="12"/>
        <v>7.1428571428571432</v>
      </c>
      <c r="D24" s="1">
        <f t="shared" si="16"/>
        <v>80.000000000000014</v>
      </c>
      <c r="E24" s="1">
        <f t="shared" si="17"/>
        <v>20</v>
      </c>
      <c r="G24">
        <v>2028</v>
      </c>
      <c r="H24">
        <f t="shared" si="13"/>
        <v>21</v>
      </c>
      <c r="I24" s="3">
        <f t="shared" si="14"/>
        <v>4.166666666666667</v>
      </c>
      <c r="J24" s="1">
        <f t="shared" si="18"/>
        <v>98.124999999999972</v>
      </c>
      <c r="K24" s="1">
        <f t="shared" si="19"/>
        <v>1.8750000000000002</v>
      </c>
      <c r="M24">
        <v>2028</v>
      </c>
      <c r="N24">
        <f t="shared" si="15"/>
        <v>21</v>
      </c>
      <c r="O24" s="3">
        <f t="shared" si="11"/>
        <v>7.1428571428571432</v>
      </c>
      <c r="P24" s="1">
        <f t="shared" si="20"/>
        <v>96.785714285714306</v>
      </c>
      <c r="Q24" s="1">
        <f t="shared" si="21"/>
        <v>3.2142857142857144</v>
      </c>
    </row>
    <row r="25" spans="1:17" x14ac:dyDescent="0.25">
      <c r="A25">
        <v>2029</v>
      </c>
      <c r="B25">
        <f t="shared" si="22"/>
        <v>66</v>
      </c>
      <c r="C25" s="3">
        <f t="shared" si="12"/>
        <v>7.1428571428571432</v>
      </c>
      <c r="D25" s="1">
        <f t="shared" si="16"/>
        <v>75.714285714285737</v>
      </c>
      <c r="E25" s="1">
        <f t="shared" si="17"/>
        <v>24.285714285714285</v>
      </c>
      <c r="G25">
        <v>2029</v>
      </c>
      <c r="H25">
        <f t="shared" si="13"/>
        <v>25</v>
      </c>
      <c r="I25" s="3">
        <f t="shared" si="14"/>
        <v>4.166666666666667</v>
      </c>
      <c r="J25" s="1">
        <f t="shared" si="18"/>
        <v>97.249999999999972</v>
      </c>
      <c r="K25" s="1">
        <f t="shared" si="19"/>
        <v>2.75</v>
      </c>
      <c r="M25">
        <v>2029</v>
      </c>
      <c r="N25">
        <f t="shared" si="15"/>
        <v>25</v>
      </c>
      <c r="O25" s="3">
        <f t="shared" si="11"/>
        <v>7.1428571428571432</v>
      </c>
      <c r="P25" s="1">
        <f t="shared" si="20"/>
        <v>95.285714285714306</v>
      </c>
      <c r="Q25" s="1">
        <f t="shared" si="21"/>
        <v>4.7142857142857144</v>
      </c>
    </row>
    <row r="26" spans="1:17" x14ac:dyDescent="0.25">
      <c r="A26">
        <v>2030</v>
      </c>
      <c r="B26">
        <f t="shared" si="22"/>
        <v>72</v>
      </c>
      <c r="C26" s="3">
        <f t="shared" si="12"/>
        <v>7.1428571428571432</v>
      </c>
      <c r="D26" s="1">
        <f t="shared" si="16"/>
        <v>71.000000000000028</v>
      </c>
      <c r="E26" s="2">
        <f t="shared" si="17"/>
        <v>29</v>
      </c>
      <c r="G26">
        <v>2030</v>
      </c>
      <c r="H26">
        <v>30</v>
      </c>
      <c r="I26" s="3">
        <f t="shared" si="14"/>
        <v>4.166666666666667</v>
      </c>
      <c r="J26" s="1">
        <f t="shared" si="18"/>
        <v>96.2083333333333</v>
      </c>
      <c r="K26" s="2">
        <f t="shared" si="19"/>
        <v>3.791666666666667</v>
      </c>
      <c r="M26">
        <v>2030</v>
      </c>
      <c r="N26">
        <f t="shared" si="15"/>
        <v>30</v>
      </c>
      <c r="O26" s="3">
        <f t="shared" si="11"/>
        <v>7.1428571428571432</v>
      </c>
      <c r="P26" s="1">
        <f t="shared" si="20"/>
        <v>93.500000000000028</v>
      </c>
      <c r="Q26" s="2">
        <f t="shared" si="21"/>
        <v>6.5</v>
      </c>
    </row>
    <row r="27" spans="1:17" x14ac:dyDescent="0.25">
      <c r="B27" t="s">
        <v>8</v>
      </c>
    </row>
    <row r="28" spans="1:17" x14ac:dyDescent="0.25">
      <c r="B28" t="s">
        <v>13</v>
      </c>
    </row>
    <row r="29" spans="1:17" x14ac:dyDescent="0.25">
      <c r="A29">
        <v>2035</v>
      </c>
      <c r="B29">
        <v>100</v>
      </c>
    </row>
    <row r="31" spans="1:17" x14ac:dyDescent="0.25">
      <c r="B31" t="s">
        <v>10</v>
      </c>
    </row>
    <row r="32" spans="1:17" x14ac:dyDescent="0.25">
      <c r="B32" t="s">
        <v>19</v>
      </c>
      <c r="N32" t="s">
        <v>18</v>
      </c>
      <c r="O32" t="s">
        <v>17</v>
      </c>
    </row>
    <row r="33" spans="1:17" x14ac:dyDescent="0.25">
      <c r="A33" t="s">
        <v>1</v>
      </c>
      <c r="B33" t="s">
        <v>0</v>
      </c>
      <c r="C33" t="s">
        <v>14</v>
      </c>
      <c r="D33" t="s">
        <v>2</v>
      </c>
      <c r="E33" t="s">
        <v>3</v>
      </c>
      <c r="G33" t="s">
        <v>1</v>
      </c>
      <c r="H33" t="s">
        <v>0</v>
      </c>
      <c r="I33" t="s">
        <v>14</v>
      </c>
      <c r="J33" t="s">
        <v>2</v>
      </c>
      <c r="K33" t="s">
        <v>3</v>
      </c>
      <c r="M33" t="s">
        <v>1</v>
      </c>
      <c r="N33" t="s">
        <v>0</v>
      </c>
      <c r="O33" t="s">
        <v>14</v>
      </c>
      <c r="P33" t="s">
        <v>2</v>
      </c>
      <c r="Q33" t="s">
        <v>3</v>
      </c>
    </row>
    <row r="34" spans="1:17" x14ac:dyDescent="0.25">
      <c r="A34">
        <v>2023</v>
      </c>
      <c r="B34">
        <v>30</v>
      </c>
      <c r="C34" s="3">
        <f>50/6</f>
        <v>8.3333333333333339</v>
      </c>
      <c r="D34" s="1">
        <v>95</v>
      </c>
      <c r="E34" s="1">
        <v>5</v>
      </c>
      <c r="G34">
        <v>2023</v>
      </c>
      <c r="H34">
        <v>1</v>
      </c>
      <c r="I34" s="3">
        <f>50/9</f>
        <v>5.5555555555555554</v>
      </c>
      <c r="J34" s="1">
        <v>100</v>
      </c>
      <c r="K34" s="1">
        <v>0</v>
      </c>
      <c r="M34">
        <v>2023</v>
      </c>
      <c r="N34">
        <f>H34</f>
        <v>1</v>
      </c>
      <c r="O34" s="3">
        <f t="shared" ref="O34:O41" si="23">+C34</f>
        <v>8.3333333333333339</v>
      </c>
      <c r="P34" s="1">
        <v>100</v>
      </c>
      <c r="Q34" s="1">
        <v>0</v>
      </c>
    </row>
    <row r="35" spans="1:17" x14ac:dyDescent="0.25">
      <c r="A35">
        <v>2024</v>
      </c>
      <c r="B35">
        <v>40</v>
      </c>
      <c r="C35" s="3">
        <f t="shared" ref="C35:C41" si="24">50/6</f>
        <v>8.3333333333333339</v>
      </c>
      <c r="D35" s="1">
        <f>D34-C34+(1-B34/100)*C34</f>
        <v>92.5</v>
      </c>
      <c r="E35" s="1">
        <f>E34+(B34/100)*C34</f>
        <v>7.5</v>
      </c>
      <c r="G35">
        <v>2024</v>
      </c>
      <c r="H35">
        <f t="shared" ref="H35:H40" si="25">+H34+4</f>
        <v>5</v>
      </c>
      <c r="I35" s="3">
        <f t="shared" ref="I35:I41" si="26">50/9</f>
        <v>5.5555555555555554</v>
      </c>
      <c r="J35" s="1">
        <f>J34-I34+(1-H34/100)*I34</f>
        <v>99.944444444444443</v>
      </c>
      <c r="K35" s="1">
        <f>K34+(H34/100)*I34</f>
        <v>5.5555555555555552E-2</v>
      </c>
      <c r="M35">
        <v>2024</v>
      </c>
      <c r="N35">
        <f>+N34+6</f>
        <v>7</v>
      </c>
      <c r="O35" s="3">
        <f t="shared" si="23"/>
        <v>8.3333333333333339</v>
      </c>
      <c r="P35" s="1">
        <f>P34-O34+(1-N34/100)*O34</f>
        <v>99.916666666666671</v>
      </c>
      <c r="Q35" s="1">
        <f>Q34+(N34/100)*O34</f>
        <v>8.3333333333333343E-2</v>
      </c>
    </row>
    <row r="36" spans="1:17" x14ac:dyDescent="0.25">
      <c r="A36">
        <v>2025</v>
      </c>
      <c r="B36">
        <v>50</v>
      </c>
      <c r="C36" s="3">
        <f t="shared" si="24"/>
        <v>8.3333333333333339</v>
      </c>
      <c r="D36" s="1">
        <f t="shared" ref="D36:D41" si="27">D35-C35+(1-B35/100)*C35</f>
        <v>89.166666666666671</v>
      </c>
      <c r="E36" s="1">
        <f t="shared" ref="E36:E41" si="28">E35+(B35/100)*C35</f>
        <v>10.833333333333334</v>
      </c>
      <c r="G36">
        <v>2025</v>
      </c>
      <c r="H36">
        <f t="shared" si="25"/>
        <v>9</v>
      </c>
      <c r="I36" s="3">
        <f t="shared" si="26"/>
        <v>5.5555555555555554</v>
      </c>
      <c r="J36" s="1">
        <f t="shared" ref="J36:J41" si="29">J35-I35+(1-H35/100)*I35</f>
        <v>99.666666666666657</v>
      </c>
      <c r="K36" s="1">
        <f t="shared" ref="K36:K41" si="30">K35+(H35/100)*I35</f>
        <v>0.33333333333333337</v>
      </c>
      <c r="M36">
        <v>2025</v>
      </c>
      <c r="N36">
        <f t="shared" ref="N36:N41" si="31">+N35+6</f>
        <v>13</v>
      </c>
      <c r="O36" s="3">
        <f t="shared" si="23"/>
        <v>8.3333333333333339</v>
      </c>
      <c r="P36" s="1">
        <f t="shared" ref="P36:P41" si="32">P35-O35+(1-N35/100)*O35</f>
        <v>99.333333333333343</v>
      </c>
      <c r="Q36" s="1">
        <f t="shared" ref="Q36:Q41" si="33">Q35+(N35/100)*O35</f>
        <v>0.66666666666666685</v>
      </c>
    </row>
    <row r="37" spans="1:17" x14ac:dyDescent="0.25">
      <c r="A37">
        <v>2026</v>
      </c>
      <c r="B37">
        <v>60</v>
      </c>
      <c r="C37" s="3">
        <f t="shared" si="24"/>
        <v>8.3333333333333339</v>
      </c>
      <c r="D37" s="1">
        <f t="shared" si="27"/>
        <v>85.000000000000014</v>
      </c>
      <c r="E37" s="1">
        <f t="shared" si="28"/>
        <v>15</v>
      </c>
      <c r="G37">
        <v>2026</v>
      </c>
      <c r="H37">
        <f t="shared" si="25"/>
        <v>13</v>
      </c>
      <c r="I37" s="3">
        <f t="shared" si="26"/>
        <v>5.5555555555555554</v>
      </c>
      <c r="J37" s="1">
        <f t="shared" si="29"/>
        <v>99.166666666666657</v>
      </c>
      <c r="K37" s="1">
        <f t="shared" si="30"/>
        <v>0.83333333333333326</v>
      </c>
      <c r="M37">
        <v>2026</v>
      </c>
      <c r="N37">
        <f t="shared" si="31"/>
        <v>19</v>
      </c>
      <c r="O37" s="3">
        <f t="shared" si="23"/>
        <v>8.3333333333333339</v>
      </c>
      <c r="P37" s="1">
        <f t="shared" si="32"/>
        <v>98.250000000000014</v>
      </c>
      <c r="Q37" s="1">
        <f t="shared" si="33"/>
        <v>1.7500000000000004</v>
      </c>
    </row>
    <row r="38" spans="1:17" x14ac:dyDescent="0.25">
      <c r="A38">
        <v>2027</v>
      </c>
      <c r="B38">
        <v>70</v>
      </c>
      <c r="C38" s="3">
        <f t="shared" si="24"/>
        <v>8.3333333333333339</v>
      </c>
      <c r="D38" s="1">
        <f t="shared" si="27"/>
        <v>80.000000000000014</v>
      </c>
      <c r="E38" s="1">
        <f t="shared" si="28"/>
        <v>20</v>
      </c>
      <c r="G38">
        <v>2027</v>
      </c>
      <c r="H38">
        <f t="shared" si="25"/>
        <v>17</v>
      </c>
      <c r="I38" s="3">
        <f t="shared" si="26"/>
        <v>5.5555555555555554</v>
      </c>
      <c r="J38" s="1">
        <f t="shared" si="29"/>
        <v>98.444444444444429</v>
      </c>
      <c r="K38" s="1">
        <f t="shared" si="30"/>
        <v>1.5555555555555554</v>
      </c>
      <c r="M38">
        <v>2027</v>
      </c>
      <c r="N38">
        <f t="shared" si="31"/>
        <v>25</v>
      </c>
      <c r="O38" s="3">
        <f t="shared" si="23"/>
        <v>8.3333333333333339</v>
      </c>
      <c r="P38" s="1">
        <f t="shared" si="32"/>
        <v>96.666666666666686</v>
      </c>
      <c r="Q38" s="1">
        <f t="shared" si="33"/>
        <v>3.3333333333333339</v>
      </c>
    </row>
    <row r="39" spans="1:17" x14ac:dyDescent="0.25">
      <c r="A39">
        <v>2028</v>
      </c>
      <c r="B39">
        <v>80</v>
      </c>
      <c r="C39" s="3">
        <f t="shared" si="24"/>
        <v>8.3333333333333339</v>
      </c>
      <c r="D39" s="1">
        <f t="shared" si="27"/>
        <v>74.166666666666686</v>
      </c>
      <c r="E39" s="1">
        <f t="shared" si="28"/>
        <v>25.833333333333332</v>
      </c>
      <c r="G39">
        <v>2028</v>
      </c>
      <c r="H39">
        <f t="shared" si="25"/>
        <v>21</v>
      </c>
      <c r="I39" s="3">
        <f t="shared" si="26"/>
        <v>5.5555555555555554</v>
      </c>
      <c r="J39" s="1">
        <f t="shared" si="29"/>
        <v>97.499999999999986</v>
      </c>
      <c r="K39" s="1">
        <f t="shared" si="30"/>
        <v>2.5</v>
      </c>
      <c r="M39">
        <v>2028</v>
      </c>
      <c r="N39">
        <f t="shared" si="31"/>
        <v>31</v>
      </c>
      <c r="O39" s="3">
        <f t="shared" si="23"/>
        <v>8.3333333333333339</v>
      </c>
      <c r="P39" s="1">
        <f t="shared" si="32"/>
        <v>94.583333333333357</v>
      </c>
      <c r="Q39" s="1">
        <f t="shared" si="33"/>
        <v>5.4166666666666679</v>
      </c>
    </row>
    <row r="40" spans="1:17" x14ac:dyDescent="0.25">
      <c r="A40">
        <v>2029</v>
      </c>
      <c r="B40">
        <v>90</v>
      </c>
      <c r="C40" s="3">
        <f t="shared" si="24"/>
        <v>8.3333333333333339</v>
      </c>
      <c r="D40" s="1">
        <f t="shared" si="27"/>
        <v>67.500000000000028</v>
      </c>
      <c r="E40" s="1">
        <f t="shared" si="28"/>
        <v>32.5</v>
      </c>
      <c r="G40">
        <v>2029</v>
      </c>
      <c r="H40">
        <f t="shared" si="25"/>
        <v>25</v>
      </c>
      <c r="I40" s="3">
        <f t="shared" si="26"/>
        <v>5.5555555555555554</v>
      </c>
      <c r="J40" s="1">
        <f t="shared" si="29"/>
        <v>96.333333333333314</v>
      </c>
      <c r="K40" s="1">
        <f t="shared" si="30"/>
        <v>3.6666666666666665</v>
      </c>
      <c r="M40">
        <v>2029</v>
      </c>
      <c r="N40">
        <f t="shared" si="31"/>
        <v>37</v>
      </c>
      <c r="O40" s="3">
        <f t="shared" si="23"/>
        <v>8.3333333333333339</v>
      </c>
      <c r="P40" s="1">
        <f t="shared" si="32"/>
        <v>92.000000000000028</v>
      </c>
      <c r="Q40" s="1">
        <f t="shared" si="33"/>
        <v>8.0000000000000018</v>
      </c>
    </row>
    <row r="41" spans="1:17" x14ac:dyDescent="0.25">
      <c r="A41">
        <v>2030</v>
      </c>
      <c r="B41">
        <v>100</v>
      </c>
      <c r="C41" s="3">
        <f t="shared" si="24"/>
        <v>8.3333333333333339</v>
      </c>
      <c r="D41" s="1">
        <f t="shared" si="27"/>
        <v>60.000000000000028</v>
      </c>
      <c r="E41" s="2">
        <f t="shared" si="28"/>
        <v>40</v>
      </c>
      <c r="G41">
        <v>2030</v>
      </c>
      <c r="H41">
        <v>30</v>
      </c>
      <c r="I41" s="3">
        <f t="shared" si="26"/>
        <v>5.5555555555555554</v>
      </c>
      <c r="J41" s="1">
        <f t="shared" si="29"/>
        <v>94.944444444444429</v>
      </c>
      <c r="K41" s="2">
        <f t="shared" si="30"/>
        <v>5.0555555555555554</v>
      </c>
      <c r="M41">
        <v>2030</v>
      </c>
      <c r="N41">
        <f t="shared" si="31"/>
        <v>43</v>
      </c>
      <c r="O41" s="3">
        <f t="shared" si="23"/>
        <v>8.3333333333333339</v>
      </c>
      <c r="P41" s="1">
        <f t="shared" si="32"/>
        <v>88.9166666666667</v>
      </c>
      <c r="Q41" s="2">
        <f t="shared" si="33"/>
        <v>11.083333333333336</v>
      </c>
    </row>
  </sheetData>
  <mergeCells count="2">
    <mergeCell ref="M2:Q3"/>
    <mergeCell ref="H2:K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Yip</dc:creator>
  <cp:lastModifiedBy>Arthur Yip</cp:lastModifiedBy>
  <dcterms:created xsi:type="dcterms:W3CDTF">2023-02-27T20:12:23Z</dcterms:created>
  <dcterms:modified xsi:type="dcterms:W3CDTF">2023-03-15T09:10:20Z</dcterms:modified>
</cp:coreProperties>
</file>