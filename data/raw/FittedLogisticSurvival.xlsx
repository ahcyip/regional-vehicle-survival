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ORNLMA3T/NREL Scrappage Data/"/>
    </mc:Choice>
  </mc:AlternateContent>
  <xr:revisionPtr revIDLastSave="0" documentId="8_{B786F93E-9045-014D-B0CC-7F14D0A394E8}" xr6:coauthVersionLast="47" xr6:coauthVersionMax="47" xr10:uidLastSave="{00000000-0000-0000-0000-000000000000}"/>
  <bookViews>
    <workbookView xWindow="760" yWindow="500" windowWidth="28040" windowHeight="16360" activeTab="2" xr2:uid="{7FD5F537-A8BB-8246-A0C2-3C6F09A11208}"/>
  </bookViews>
  <sheets>
    <sheet name="Alabama" sheetId="1" r:id="rId1"/>
    <sheet name="Florida" sheetId="2" r:id="rId2"/>
    <sheet name="California" sheetId="3" r:id="rId3"/>
    <sheet name="New York" sheetId="4" r:id="rId4"/>
  </sheets>
  <definedNames>
    <definedName name="solver_adj" localSheetId="0" hidden="1">Alabama!$B$4:$B$6</definedName>
    <definedName name="solver_adj" localSheetId="2" hidden="1">California!$B$4:$B$6</definedName>
    <definedName name="solver_adj" localSheetId="1" hidden="1">Florida!$B$4:$B$6</definedName>
    <definedName name="solver_adj" localSheetId="3" hidden="1">'New York'!$B$4:$B$6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drv" localSheetId="3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ng" localSheetId="3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in" localSheetId="0" hidden="1">2</definedName>
    <definedName name="solver_lin" localSheetId="2" hidden="1">2</definedName>
    <definedName name="solver_lin" localSheetId="1" hidden="1">2</definedName>
    <definedName name="solver_lin" localSheetId="3" hidden="1">2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0" hidden="1">2</definedName>
    <definedName name="solver_neg" localSheetId="2" hidden="1">2</definedName>
    <definedName name="solver_neg" localSheetId="1" hidden="1">2</definedName>
    <definedName name="solver_neg" localSheetId="3" hidden="1">2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num" localSheetId="3" hidden="1">0</definedName>
    <definedName name="solver_opt" localSheetId="0" hidden="1">Alabama!$B$9</definedName>
    <definedName name="solver_opt" localSheetId="2" hidden="1">California!$B$9</definedName>
    <definedName name="solver_opt" localSheetId="1" hidden="1">Florida!$B$9</definedName>
    <definedName name="solver_opt" localSheetId="3" hidden="1">'New York'!$B$9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pre" localSheetId="3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bv" localSheetId="3" hidden="1">1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cl" localSheetId="3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typ" localSheetId="3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er" localSheetId="0" hidden="1">2</definedName>
    <definedName name="solver_ver" localSheetId="2" hidden="1">2</definedName>
    <definedName name="solver_ver" localSheetId="1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E5" i="4" s="1"/>
  <c r="G5" i="4" s="1"/>
  <c r="E4" i="4"/>
  <c r="G4" i="4" s="1"/>
  <c r="D5" i="3"/>
  <c r="E5" i="3" s="1"/>
  <c r="G5" i="3" s="1"/>
  <c r="E4" i="3"/>
  <c r="G4" i="3" s="1"/>
  <c r="D7" i="2"/>
  <c r="D8" i="2" s="1"/>
  <c r="D6" i="2"/>
  <c r="E6" i="2" s="1"/>
  <c r="G6" i="2" s="1"/>
  <c r="D5" i="2"/>
  <c r="E5" i="2" s="1"/>
  <c r="G5" i="2" s="1"/>
  <c r="E4" i="2"/>
  <c r="G4" i="2" s="1"/>
  <c r="E4" i="1"/>
  <c r="G4" i="1" s="1"/>
  <c r="D6" i="4" l="1"/>
  <c r="D6" i="3"/>
  <c r="D9" i="2"/>
  <c r="E8" i="2"/>
  <c r="G8" i="2" s="1"/>
  <c r="E7" i="2"/>
  <c r="G7" i="2" s="1"/>
  <c r="D7" i="4" l="1"/>
  <c r="E6" i="4"/>
  <c r="G6" i="4" s="1"/>
  <c r="E6" i="3"/>
  <c r="G6" i="3" s="1"/>
  <c r="D7" i="3"/>
  <c r="D10" i="2"/>
  <c r="E9" i="2"/>
  <c r="G9" i="2" s="1"/>
  <c r="D8" i="4" l="1"/>
  <c r="E7" i="4"/>
  <c r="G7" i="4" s="1"/>
  <c r="D8" i="3"/>
  <c r="E7" i="3"/>
  <c r="G7" i="3" s="1"/>
  <c r="E10" i="2"/>
  <c r="G10" i="2" s="1"/>
  <c r="D11" i="2"/>
  <c r="D9" i="4" l="1"/>
  <c r="E8" i="4"/>
  <c r="G8" i="4" s="1"/>
  <c r="D9" i="3"/>
  <c r="E8" i="3"/>
  <c r="G8" i="3" s="1"/>
  <c r="E11" i="2"/>
  <c r="G11" i="2" s="1"/>
  <c r="D12" i="2"/>
  <c r="D10" i="4" l="1"/>
  <c r="E9" i="4"/>
  <c r="G9" i="4" s="1"/>
  <c r="D10" i="3"/>
  <c r="E9" i="3"/>
  <c r="G9" i="3" s="1"/>
  <c r="D13" i="2"/>
  <c r="E12" i="2"/>
  <c r="G12" i="2" s="1"/>
  <c r="E10" i="4" l="1"/>
  <c r="G10" i="4" s="1"/>
  <c r="D11" i="4"/>
  <c r="E10" i="3"/>
  <c r="G10" i="3" s="1"/>
  <c r="D11" i="3"/>
  <c r="E13" i="2"/>
  <c r="G13" i="2" s="1"/>
  <c r="D14" i="2"/>
  <c r="D6" i="1"/>
  <c r="D5" i="1"/>
  <c r="E5" i="1" s="1"/>
  <c r="G5" i="1" s="1"/>
  <c r="D7" i="1" l="1"/>
  <c r="E6" i="1"/>
  <c r="G6" i="1" s="1"/>
  <c r="E11" i="4"/>
  <c r="G11" i="4" s="1"/>
  <c r="D12" i="4"/>
  <c r="E11" i="3"/>
  <c r="G11" i="3" s="1"/>
  <c r="D12" i="3"/>
  <c r="E14" i="2"/>
  <c r="G14" i="2" s="1"/>
  <c r="D15" i="2"/>
  <c r="D8" i="1" l="1"/>
  <c r="E7" i="1"/>
  <c r="G7" i="1" s="1"/>
  <c r="D13" i="4"/>
  <c r="E12" i="4"/>
  <c r="G12" i="4" s="1"/>
  <c r="D13" i="3"/>
  <c r="E12" i="3"/>
  <c r="G12" i="3" s="1"/>
  <c r="E15" i="2"/>
  <c r="G15" i="2" s="1"/>
  <c r="D16" i="2"/>
  <c r="D9" i="1" l="1"/>
  <c r="E8" i="1"/>
  <c r="G8" i="1" s="1"/>
  <c r="D14" i="4"/>
  <c r="E13" i="4"/>
  <c r="G13" i="4" s="1"/>
  <c r="D14" i="3"/>
  <c r="E13" i="3"/>
  <c r="G13" i="3" s="1"/>
  <c r="D17" i="2"/>
  <c r="E16" i="2"/>
  <c r="G16" i="2" s="1"/>
  <c r="D10" i="1" l="1"/>
  <c r="E9" i="1"/>
  <c r="G9" i="1" s="1"/>
  <c r="E14" i="4"/>
  <c r="G14" i="4" s="1"/>
  <c r="D15" i="4"/>
  <c r="E14" i="3"/>
  <c r="G14" i="3" s="1"/>
  <c r="D15" i="3"/>
  <c r="E17" i="2"/>
  <c r="G17" i="2" s="1"/>
  <c r="D18" i="2"/>
  <c r="D11" i="1" l="1"/>
  <c r="E10" i="1"/>
  <c r="G10" i="1" s="1"/>
  <c r="E15" i="4"/>
  <c r="G15" i="4" s="1"/>
  <c r="D16" i="4"/>
  <c r="E15" i="3"/>
  <c r="G15" i="3" s="1"/>
  <c r="D16" i="3"/>
  <c r="E18" i="2"/>
  <c r="G18" i="2" s="1"/>
  <c r="D19" i="2"/>
  <c r="D12" i="1" l="1"/>
  <c r="E11" i="1"/>
  <c r="G11" i="1" s="1"/>
  <c r="D17" i="4"/>
  <c r="E16" i="4"/>
  <c r="G16" i="4" s="1"/>
  <c r="D17" i="3"/>
  <c r="E16" i="3"/>
  <c r="G16" i="3" s="1"/>
  <c r="E19" i="2"/>
  <c r="G19" i="2" s="1"/>
  <c r="D20" i="2"/>
  <c r="D13" i="1" l="1"/>
  <c r="E12" i="1"/>
  <c r="G12" i="1" s="1"/>
  <c r="D18" i="4"/>
  <c r="E17" i="4"/>
  <c r="G17" i="4" s="1"/>
  <c r="D18" i="3"/>
  <c r="E17" i="3"/>
  <c r="G17" i="3" s="1"/>
  <c r="D21" i="2"/>
  <c r="E20" i="2"/>
  <c r="G20" i="2" s="1"/>
  <c r="D14" i="1" l="1"/>
  <c r="E13" i="1"/>
  <c r="G13" i="1" s="1"/>
  <c r="E18" i="4"/>
  <c r="G18" i="4" s="1"/>
  <c r="D19" i="4"/>
  <c r="E18" i="3"/>
  <c r="G18" i="3" s="1"/>
  <c r="D19" i="3"/>
  <c r="D22" i="2"/>
  <c r="E21" i="2"/>
  <c r="G21" i="2" s="1"/>
  <c r="D15" i="1" l="1"/>
  <c r="E14" i="1"/>
  <c r="G14" i="1" s="1"/>
  <c r="D20" i="4"/>
  <c r="E19" i="4"/>
  <c r="G19" i="4" s="1"/>
  <c r="E19" i="3"/>
  <c r="G19" i="3" s="1"/>
  <c r="D20" i="3"/>
  <c r="E22" i="2"/>
  <c r="G22" i="2" s="1"/>
  <c r="D23" i="2"/>
  <c r="D16" i="1" l="1"/>
  <c r="E15" i="1"/>
  <c r="G15" i="1" s="1"/>
  <c r="D21" i="4"/>
  <c r="E20" i="4"/>
  <c r="G20" i="4" s="1"/>
  <c r="D21" i="3"/>
  <c r="E20" i="3"/>
  <c r="G20" i="3" s="1"/>
  <c r="E23" i="2"/>
  <c r="G23" i="2" s="1"/>
  <c r="D24" i="2"/>
  <c r="D17" i="1" l="1"/>
  <c r="E16" i="1"/>
  <c r="G16" i="1" s="1"/>
  <c r="D22" i="4"/>
  <c r="E21" i="4"/>
  <c r="G21" i="4" s="1"/>
  <c r="D22" i="3"/>
  <c r="E21" i="3"/>
  <c r="G21" i="3" s="1"/>
  <c r="D25" i="2"/>
  <c r="E24" i="2"/>
  <c r="G24" i="2" s="1"/>
  <c r="D18" i="1" l="1"/>
  <c r="E17" i="1"/>
  <c r="G17" i="1" s="1"/>
  <c r="E22" i="4"/>
  <c r="G22" i="4" s="1"/>
  <c r="D23" i="4"/>
  <c r="E22" i="3"/>
  <c r="G22" i="3" s="1"/>
  <c r="D23" i="3"/>
  <c r="D26" i="2"/>
  <c r="E25" i="2"/>
  <c r="G25" i="2" s="1"/>
  <c r="D19" i="1" l="1"/>
  <c r="E18" i="1"/>
  <c r="G18" i="1" s="1"/>
  <c r="D24" i="4"/>
  <c r="E23" i="4"/>
  <c r="G23" i="4" s="1"/>
  <c r="E23" i="3"/>
  <c r="G23" i="3" s="1"/>
  <c r="D24" i="3"/>
  <c r="E26" i="2"/>
  <c r="G26" i="2" s="1"/>
  <c r="D27" i="2"/>
  <c r="D20" i="1" l="1"/>
  <c r="E19" i="1"/>
  <c r="G19" i="1" s="1"/>
  <c r="D25" i="4"/>
  <c r="E24" i="4"/>
  <c r="G24" i="4" s="1"/>
  <c r="D25" i="3"/>
  <c r="E24" i="3"/>
  <c r="G24" i="3" s="1"/>
  <c r="D28" i="2"/>
  <c r="E27" i="2"/>
  <c r="G27" i="2" s="1"/>
  <c r="D21" i="1" l="1"/>
  <c r="E20" i="1"/>
  <c r="G20" i="1" s="1"/>
  <c r="D26" i="4"/>
  <c r="E25" i="4"/>
  <c r="G25" i="4" s="1"/>
  <c r="D26" i="3"/>
  <c r="E25" i="3"/>
  <c r="G25" i="3" s="1"/>
  <c r="D29" i="2"/>
  <c r="E28" i="2"/>
  <c r="G28" i="2" s="1"/>
  <c r="D22" i="1" l="1"/>
  <c r="E21" i="1"/>
  <c r="G21" i="1" s="1"/>
  <c r="E26" i="4"/>
  <c r="G26" i="4" s="1"/>
  <c r="D27" i="4"/>
  <c r="E26" i="3"/>
  <c r="G26" i="3" s="1"/>
  <c r="D27" i="3"/>
  <c r="D30" i="2"/>
  <c r="E29" i="2"/>
  <c r="G29" i="2" s="1"/>
  <c r="D23" i="1" l="1"/>
  <c r="E22" i="1"/>
  <c r="G22" i="1" s="1"/>
  <c r="D28" i="4"/>
  <c r="E27" i="4"/>
  <c r="G27" i="4" s="1"/>
  <c r="E27" i="3"/>
  <c r="G27" i="3" s="1"/>
  <c r="D28" i="3"/>
  <c r="E30" i="2"/>
  <c r="G30" i="2" s="1"/>
  <c r="D31" i="2"/>
  <c r="D24" i="1" l="1"/>
  <c r="E23" i="1"/>
  <c r="G23" i="1" s="1"/>
  <c r="D29" i="4"/>
  <c r="E28" i="4"/>
  <c r="G28" i="4" s="1"/>
  <c r="D29" i="3"/>
  <c r="E28" i="3"/>
  <c r="G28" i="3" s="1"/>
  <c r="D32" i="2"/>
  <c r="E31" i="2"/>
  <c r="G31" i="2" s="1"/>
  <c r="D25" i="1" l="1"/>
  <c r="E24" i="1"/>
  <c r="G24" i="1" s="1"/>
  <c r="D30" i="4"/>
  <c r="E29" i="4"/>
  <c r="G29" i="4" s="1"/>
  <c r="D30" i="3"/>
  <c r="E29" i="3"/>
  <c r="G29" i="3" s="1"/>
  <c r="D33" i="2"/>
  <c r="E32" i="2"/>
  <c r="G32" i="2" s="1"/>
  <c r="D26" i="1" l="1"/>
  <c r="E25" i="1"/>
  <c r="G25" i="1" s="1"/>
  <c r="E30" i="4"/>
  <c r="G30" i="4" s="1"/>
  <c r="D31" i="4"/>
  <c r="E30" i="3"/>
  <c r="G30" i="3" s="1"/>
  <c r="D31" i="3"/>
  <c r="D34" i="2"/>
  <c r="E33" i="2"/>
  <c r="G33" i="2" s="1"/>
  <c r="D27" i="1" l="1"/>
  <c r="E26" i="1"/>
  <c r="G26" i="1" s="1"/>
  <c r="D32" i="4"/>
  <c r="E31" i="4"/>
  <c r="G31" i="4" s="1"/>
  <c r="E31" i="3"/>
  <c r="G31" i="3" s="1"/>
  <c r="D32" i="3"/>
  <c r="E34" i="2"/>
  <c r="G34" i="2" s="1"/>
  <c r="B9" i="2" s="1"/>
  <c r="D35" i="2"/>
  <c r="D28" i="1" l="1"/>
  <c r="E27" i="1"/>
  <c r="G27" i="1" s="1"/>
  <c r="D33" i="4"/>
  <c r="E32" i="4"/>
  <c r="G32" i="4" s="1"/>
  <c r="D33" i="3"/>
  <c r="E32" i="3"/>
  <c r="G32" i="3" s="1"/>
  <c r="D36" i="2"/>
  <c r="E35" i="2"/>
  <c r="G35" i="2" s="1"/>
  <c r="D29" i="1" l="1"/>
  <c r="E28" i="1"/>
  <c r="G28" i="1" s="1"/>
  <c r="D34" i="4"/>
  <c r="E33" i="4"/>
  <c r="G33" i="4" s="1"/>
  <c r="D34" i="3"/>
  <c r="E33" i="3"/>
  <c r="G33" i="3" s="1"/>
  <c r="D37" i="2"/>
  <c r="E36" i="2"/>
  <c r="G36" i="2" s="1"/>
  <c r="D30" i="1" l="1"/>
  <c r="E29" i="1"/>
  <c r="G29" i="1" s="1"/>
  <c r="E34" i="4"/>
  <c r="G34" i="4" s="1"/>
  <c r="B9" i="4" s="1"/>
  <c r="D35" i="4"/>
  <c r="E34" i="3"/>
  <c r="G34" i="3" s="1"/>
  <c r="B9" i="3" s="1"/>
  <c r="D35" i="3"/>
  <c r="D38" i="2"/>
  <c r="E37" i="2"/>
  <c r="G37" i="2" s="1"/>
  <c r="D31" i="1" l="1"/>
  <c r="E30" i="1"/>
  <c r="G30" i="1" s="1"/>
  <c r="D36" i="4"/>
  <c r="E35" i="4"/>
  <c r="G35" i="4" s="1"/>
  <c r="E35" i="3"/>
  <c r="G35" i="3" s="1"/>
  <c r="D36" i="3"/>
  <c r="E38" i="2"/>
  <c r="G38" i="2" s="1"/>
  <c r="D39" i="2"/>
  <c r="D32" i="1" l="1"/>
  <c r="E31" i="1"/>
  <c r="G31" i="1" s="1"/>
  <c r="D37" i="4"/>
  <c r="E36" i="4"/>
  <c r="G36" i="4" s="1"/>
  <c r="D37" i="3"/>
  <c r="E36" i="3"/>
  <c r="G36" i="3" s="1"/>
  <c r="D40" i="2"/>
  <c r="E39" i="2"/>
  <c r="G39" i="2" s="1"/>
  <c r="D33" i="1" l="1"/>
  <c r="E32" i="1"/>
  <c r="G32" i="1" s="1"/>
  <c r="D38" i="4"/>
  <c r="E37" i="4"/>
  <c r="G37" i="4" s="1"/>
  <c r="D38" i="3"/>
  <c r="E37" i="3"/>
  <c r="G37" i="3" s="1"/>
  <c r="D41" i="2"/>
  <c r="E40" i="2"/>
  <c r="G40" i="2" s="1"/>
  <c r="D34" i="1" l="1"/>
  <c r="E33" i="1"/>
  <c r="G33" i="1" s="1"/>
  <c r="E38" i="4"/>
  <c r="G38" i="4" s="1"/>
  <c r="D39" i="4"/>
  <c r="E38" i="3"/>
  <c r="G38" i="3" s="1"/>
  <c r="D39" i="3"/>
  <c r="D42" i="2"/>
  <c r="E41" i="2"/>
  <c r="G41" i="2" s="1"/>
  <c r="D35" i="1" l="1"/>
  <c r="E34" i="1"/>
  <c r="G34" i="1" s="1"/>
  <c r="B9" i="1" s="1"/>
  <c r="E39" i="4"/>
  <c r="G39" i="4" s="1"/>
  <c r="D40" i="4"/>
  <c r="E39" i="3"/>
  <c r="G39" i="3" s="1"/>
  <c r="D40" i="3"/>
  <c r="E42" i="2"/>
  <c r="G42" i="2" s="1"/>
  <c r="D43" i="2"/>
  <c r="D36" i="1" l="1"/>
  <c r="E35" i="1"/>
  <c r="G35" i="1" s="1"/>
  <c r="D41" i="4"/>
  <c r="E40" i="4"/>
  <c r="G40" i="4" s="1"/>
  <c r="D41" i="3"/>
  <c r="E40" i="3"/>
  <c r="G40" i="3" s="1"/>
  <c r="E43" i="2"/>
  <c r="G43" i="2" s="1"/>
  <c r="D44" i="2"/>
  <c r="E36" i="1" l="1"/>
  <c r="G36" i="1" s="1"/>
  <c r="D37" i="1"/>
  <c r="D42" i="4"/>
  <c r="E41" i="4"/>
  <c r="G41" i="4" s="1"/>
  <c r="D42" i="3"/>
  <c r="E41" i="3"/>
  <c r="G41" i="3" s="1"/>
  <c r="D45" i="2"/>
  <c r="E44" i="2"/>
  <c r="G44" i="2" s="1"/>
  <c r="E37" i="1" l="1"/>
  <c r="G37" i="1" s="1"/>
  <c r="D38" i="1"/>
  <c r="E42" i="4"/>
  <c r="G42" i="4" s="1"/>
  <c r="D43" i="4"/>
  <c r="E42" i="3"/>
  <c r="G42" i="3" s="1"/>
  <c r="D43" i="3"/>
  <c r="E45" i="2"/>
  <c r="G45" i="2" s="1"/>
  <c r="D46" i="2"/>
  <c r="D39" i="1" l="1"/>
  <c r="E38" i="1"/>
  <c r="G38" i="1" s="1"/>
  <c r="E43" i="4"/>
  <c r="G43" i="4" s="1"/>
  <c r="D44" i="4"/>
  <c r="E43" i="3"/>
  <c r="G43" i="3" s="1"/>
  <c r="D44" i="3"/>
  <c r="E46" i="2"/>
  <c r="G46" i="2" s="1"/>
  <c r="D47" i="2"/>
  <c r="E39" i="1" l="1"/>
  <c r="G39" i="1" s="1"/>
  <c r="D40" i="1"/>
  <c r="D45" i="4"/>
  <c r="E44" i="4"/>
  <c r="G44" i="4" s="1"/>
  <c r="D45" i="3"/>
  <c r="E44" i="3"/>
  <c r="G44" i="3" s="1"/>
  <c r="E47" i="2"/>
  <c r="G47" i="2" s="1"/>
  <c r="D48" i="2"/>
  <c r="D41" i="1" l="1"/>
  <c r="E40" i="1"/>
  <c r="G40" i="1" s="1"/>
  <c r="D46" i="4"/>
  <c r="E45" i="4"/>
  <c r="G45" i="4" s="1"/>
  <c r="D46" i="3"/>
  <c r="E45" i="3"/>
  <c r="G45" i="3" s="1"/>
  <c r="D49" i="2"/>
  <c r="E48" i="2"/>
  <c r="G48" i="2" s="1"/>
  <c r="D42" i="1" l="1"/>
  <c r="E41" i="1"/>
  <c r="G41" i="1" s="1"/>
  <c r="E46" i="4"/>
  <c r="G46" i="4" s="1"/>
  <c r="D47" i="4"/>
  <c r="E46" i="3"/>
  <c r="G46" i="3" s="1"/>
  <c r="D47" i="3"/>
  <c r="E49" i="2"/>
  <c r="G49" i="2" s="1"/>
  <c r="D50" i="2"/>
  <c r="D43" i="1" l="1"/>
  <c r="E42" i="1"/>
  <c r="G42" i="1" s="1"/>
  <c r="E47" i="4"/>
  <c r="G47" i="4" s="1"/>
  <c r="D48" i="4"/>
  <c r="E47" i="3"/>
  <c r="G47" i="3" s="1"/>
  <c r="D48" i="3"/>
  <c r="E50" i="2"/>
  <c r="G50" i="2" s="1"/>
  <c r="D51" i="2"/>
  <c r="E43" i="1" l="1"/>
  <c r="G43" i="1" s="1"/>
  <c r="D44" i="1"/>
  <c r="D49" i="4"/>
  <c r="E48" i="4"/>
  <c r="G48" i="4" s="1"/>
  <c r="D49" i="3"/>
  <c r="E48" i="3"/>
  <c r="G48" i="3" s="1"/>
  <c r="D52" i="2"/>
  <c r="E51" i="2"/>
  <c r="G51" i="2" s="1"/>
  <c r="E44" i="1" l="1"/>
  <c r="G44" i="1" s="1"/>
  <c r="D45" i="1"/>
  <c r="D50" i="4"/>
  <c r="E49" i="4"/>
  <c r="G49" i="4" s="1"/>
  <c r="D50" i="3"/>
  <c r="E49" i="3"/>
  <c r="G49" i="3" s="1"/>
  <c r="D53" i="2"/>
  <c r="E52" i="2"/>
  <c r="G52" i="2" s="1"/>
  <c r="E45" i="1" l="1"/>
  <c r="G45" i="1" s="1"/>
  <c r="D46" i="1"/>
  <c r="E50" i="4"/>
  <c r="G50" i="4" s="1"/>
  <c r="D51" i="4"/>
  <c r="E50" i="3"/>
  <c r="G50" i="3" s="1"/>
  <c r="D51" i="3"/>
  <c r="D54" i="2"/>
  <c r="E53" i="2"/>
  <c r="G53" i="2" s="1"/>
  <c r="D47" i="1" l="1"/>
  <c r="E46" i="1"/>
  <c r="G46" i="1" s="1"/>
  <c r="E51" i="4"/>
  <c r="G51" i="4" s="1"/>
  <c r="D52" i="4"/>
  <c r="E51" i="3"/>
  <c r="G51" i="3" s="1"/>
  <c r="D52" i="3"/>
  <c r="E54" i="2"/>
  <c r="G54" i="2" s="1"/>
  <c r="D55" i="2"/>
  <c r="E55" i="2" s="1"/>
  <c r="G55" i="2" s="1"/>
  <c r="E47" i="1" l="1"/>
  <c r="G47" i="1" s="1"/>
  <c r="D48" i="1"/>
  <c r="D53" i="4"/>
  <c r="E52" i="4"/>
  <c r="G52" i="4" s="1"/>
  <c r="D53" i="3"/>
  <c r="E52" i="3"/>
  <c r="G52" i="3" s="1"/>
  <c r="D49" i="1" l="1"/>
  <c r="E48" i="1"/>
  <c r="G48" i="1" s="1"/>
  <c r="D54" i="4"/>
  <c r="E53" i="4"/>
  <c r="G53" i="4" s="1"/>
  <c r="D54" i="3"/>
  <c r="E53" i="3"/>
  <c r="G53" i="3" s="1"/>
  <c r="D50" i="1" l="1"/>
  <c r="E49" i="1"/>
  <c r="G49" i="1" s="1"/>
  <c r="E54" i="4"/>
  <c r="G54" i="4" s="1"/>
  <c r="D55" i="4"/>
  <c r="E55" i="4" s="1"/>
  <c r="G55" i="4" s="1"/>
  <c r="E54" i="3"/>
  <c r="G54" i="3" s="1"/>
  <c r="D55" i="3"/>
  <c r="E55" i="3" s="1"/>
  <c r="G55" i="3" s="1"/>
  <c r="D51" i="1" l="1"/>
  <c r="E50" i="1"/>
  <c r="G50" i="1" s="1"/>
  <c r="E51" i="1" l="1"/>
  <c r="G51" i="1" s="1"/>
  <c r="D52" i="1"/>
  <c r="D53" i="1" l="1"/>
  <c r="E52" i="1"/>
  <c r="G52" i="1" s="1"/>
  <c r="E53" i="1" l="1"/>
  <c r="G53" i="1" s="1"/>
  <c r="D54" i="1"/>
  <c r="D55" i="1" l="1"/>
  <c r="E55" i="1" s="1"/>
  <c r="G55" i="1" s="1"/>
  <c r="E54" i="1"/>
  <c r="G54" i="1" s="1"/>
</calcChain>
</file>

<file path=xl/sharedStrings.xml><?xml version="1.0" encoding="utf-8"?>
<sst xmlns="http://schemas.openxmlformats.org/spreadsheetml/2006/main" count="30" uniqueCount="12">
  <si>
    <t>Various Cumulative Logistic Functions (!-cdf)</t>
  </si>
  <si>
    <t>K</t>
  </si>
  <si>
    <t>mu</t>
  </si>
  <si>
    <t>s</t>
  </si>
  <si>
    <t>Step</t>
  </si>
  <si>
    <t>Objective</t>
  </si>
  <si>
    <t>Alabama</t>
  </si>
  <si>
    <t>Florida</t>
  </si>
  <si>
    <t>California</t>
  </si>
  <si>
    <t>1.058571087886018</t>
  </si>
  <si>
    <t>1.0409162830840046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</si>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</sst>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Fitted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Alabama!$D$4:$D$55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Alabama!$E$4:$E$55</c:f>
              <c:numCache>
                <c:formatCode>0.000</c:formatCode>
                <c:ptCount val="52"/>
                <c:pt idx="0">
                  <c:v>1.0564454797551475</c:v>
                </c:pt>
                <c:pt idx="1">
                  <c:v>1.1433720689159246</c:v>
                </c:pt>
                <c:pt idx="2">
                  <c:v>1.2239677372482296</c:v>
                </c:pt>
                <c:pt idx="3">
                  <c:v>1.293910298248236</c:v>
                </c:pt>
                <c:pt idx="4">
                  <c:v>1.348820591281255</c:v>
                </c:pt>
                <c:pt idx="5">
                  <c:v>1.3848306412860705</c:v>
                </c:pt>
                <c:pt idx="6">
                  <c:v>1.3991907744385996</c:v>
                </c:pt>
                <c:pt idx="7">
                  <c:v>1.3907562971351217</c:v>
                </c:pt>
                <c:pt idx="8">
                  <c:v>1.3602029083855551</c:v>
                </c:pt>
                <c:pt idx="9">
                  <c:v>1.3098986521436962</c:v>
                </c:pt>
                <c:pt idx="10">
                  <c:v>1.2434756985579438</c:v>
                </c:pt>
                <c:pt idx="11">
                  <c:v>1.165238407882343</c:v>
                </c:pt>
                <c:pt idx="12">
                  <c:v>1.0795716997254343</c:v>
                </c:pt>
                <c:pt idx="13">
                  <c:v>0.99047557441775158</c:v>
                </c:pt>
                <c:pt idx="14">
                  <c:v>0.90128167057540209</c:v>
                </c:pt>
                <c:pt idx="15">
                  <c:v>0.81454422925299841</c:v>
                </c:pt>
                <c:pt idx="16">
                  <c:v>0.73206130830070104</c:v>
                </c:pt>
                <c:pt idx="17">
                  <c:v>0.65497299636163187</c:v>
                </c:pt>
                <c:pt idx="18">
                  <c:v>0.58389158417855114</c:v>
                </c:pt>
                <c:pt idx="19">
                  <c:v>0.51903320576501477</c:v>
                </c:pt>
                <c:pt idx="20">
                  <c:v>0.46033425700746605</c:v>
                </c:pt>
                <c:pt idx="21">
                  <c:v>0.40754599660770369</c:v>
                </c:pt>
                <c:pt idx="22">
                  <c:v>0.36030687386415378</c:v>
                </c:pt>
                <c:pt idx="23">
                  <c:v>0.31819520003713508</c:v>
                </c:pt>
                <c:pt idx="24">
                  <c:v>0.28076587774176026</c:v>
                </c:pt>
                <c:pt idx="25">
                  <c:v>0.24757491282474164</c:v>
                </c:pt>
                <c:pt idx="26">
                  <c:v>0.21819494743135795</c:v>
                </c:pt>
                <c:pt idx="27">
                  <c:v>0.1922244147361101</c:v>
                </c:pt>
                <c:pt idx="28">
                  <c:v>0.16929229831020542</c:v>
                </c:pt>
                <c:pt idx="29">
                  <c:v>0.14905995379674383</c:v>
                </c:pt>
                <c:pt idx="30">
                  <c:v>0.13122103469248991</c:v>
                </c:pt>
                <c:pt idx="31">
                  <c:v>0.11550024959407419</c:v>
                </c:pt>
                <c:pt idx="32">
                  <c:v>0.10165144800738884</c:v>
                </c:pt>
                <c:pt idx="33">
                  <c:v>8.9455367173907133E-2</c:v>
                </c:pt>
                <c:pt idx="34">
                  <c:v>7.8717256846996791E-2</c:v>
                </c:pt>
                <c:pt idx="35">
                  <c:v>6.9264519200741378E-2</c:v>
                </c:pt>
                <c:pt idx="36">
                  <c:v>6.0944446824599756E-2</c:v>
                </c:pt>
                <c:pt idx="37">
                  <c:v>5.3622105453022754E-2</c:v>
                </c:pt>
                <c:pt idx="38">
                  <c:v>4.7178384203257519E-2</c:v>
                </c:pt>
                <c:pt idx="39">
                  <c:v>4.1508220738555479E-2</c:v>
                </c:pt>
                <c:pt idx="40">
                  <c:v>3.6518999195350177E-2</c:v>
                </c:pt>
                <c:pt idx="41">
                  <c:v>3.2129113007514948E-2</c:v>
                </c:pt>
                <c:pt idx="42">
                  <c:v>2.8266681618212917E-2</c:v>
                </c:pt>
                <c:pt idx="43">
                  <c:v>2.4868408595641774E-2</c:v>
                </c:pt>
                <c:pt idx="44">
                  <c:v>2.18785682574087E-2</c:v>
                </c:pt>
                <c:pt idx="45">
                  <c:v>1.9248108152564013E-2</c:v>
                </c:pt>
                <c:pt idx="46">
                  <c:v>1.6933855379985804E-2</c:v>
                </c:pt>
                <c:pt idx="47">
                  <c:v>1.4897815559138721E-2</c:v>
                </c:pt>
                <c:pt idx="48">
                  <c:v>1.3106554199353658E-2</c:v>
                </c:pt>
                <c:pt idx="49">
                  <c:v>1.1530651164068277E-2</c:v>
                </c:pt>
                <c:pt idx="50">
                  <c:v>1.0144219852528204E-2</c:v>
                </c:pt>
                <c:pt idx="51">
                  <c:v>8.9244835975355388E-3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4-9048-BCBA-745E98F10603}"/>
            </c:ext>
          </c:extLst>
        </c:ser>
        <c:ser>
          <c:idx val="1"/>
          <c:order val="1"/>
          <c:tx>
            <c:v>Observed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Alabama!$D$4:$D$55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Alabama!$F$4:$F$55</c:f>
              <c:numCache>
                <c:formatCode>0.0000</c:formatCode>
                <c:ptCount val="52"/>
                <c:pt idx="0">
                  <c:v>1.1122000000000001</c:v>
                </c:pt>
                <c:pt idx="1">
                  <c:v>1.1707146821323726</c:v>
                </c:pt>
                <c:pt idx="2">
                  <c:v>1.2799356043065175</c:v>
                </c:pt>
                <c:pt idx="3">
                  <c:v>1.3230662941230875</c:v>
                </c:pt>
                <c:pt idx="4">
                  <c:v>1.3293428309647803</c:v>
                </c:pt>
                <c:pt idx="5">
                  <c:v>1.3276957460825665</c:v>
                </c:pt>
                <c:pt idx="6">
                  <c:v>1.32271370158431</c:v>
                </c:pt>
                <c:pt idx="7">
                  <c:v>1.3243491161758822</c:v>
                </c:pt>
                <c:pt idx="8">
                  <c:v>1.3087644115016457</c:v>
                </c:pt>
                <c:pt idx="9">
                  <c:v>1.2807568790112707</c:v>
                </c:pt>
                <c:pt idx="10">
                  <c:v>1.2489422929460576</c:v>
                </c:pt>
                <c:pt idx="11">
                  <c:v>1.2006205321173062</c:v>
                </c:pt>
                <c:pt idx="12">
                  <c:v>1.1331723521363333</c:v>
                </c:pt>
                <c:pt idx="13">
                  <c:v>1.0569942503638896</c:v>
                </c:pt>
                <c:pt idx="14">
                  <c:v>0.97209947367182981</c:v>
                </c:pt>
                <c:pt idx="15">
                  <c:v>0.87952649277798967</c:v>
                </c:pt>
                <c:pt idx="16">
                  <c:v>0.7786566933623813</c:v>
                </c:pt>
                <c:pt idx="17">
                  <c:v>0.68657553723894027</c:v>
                </c:pt>
                <c:pt idx="18">
                  <c:v>0.59826355799923114</c:v>
                </c:pt>
                <c:pt idx="19">
                  <c:v>0.51612140962142694</c:v>
                </c:pt>
                <c:pt idx="20">
                  <c:v>0.44015711898773191</c:v>
                </c:pt>
                <c:pt idx="21">
                  <c:v>0.37237760518616347</c:v>
                </c:pt>
                <c:pt idx="22">
                  <c:v>0.31635456845075438</c:v>
                </c:pt>
                <c:pt idx="23">
                  <c:v>0.26753494584409804</c:v>
                </c:pt>
                <c:pt idx="24">
                  <c:v>0.22164532475504375</c:v>
                </c:pt>
                <c:pt idx="25">
                  <c:v>0.18512456944172984</c:v>
                </c:pt>
                <c:pt idx="26">
                  <c:v>0.15565967286466911</c:v>
                </c:pt>
                <c:pt idx="27">
                  <c:v>0.13381966774335069</c:v>
                </c:pt>
                <c:pt idx="28">
                  <c:v>0.11688718635260947</c:v>
                </c:pt>
                <c:pt idx="29">
                  <c:v>0.10201490716442815</c:v>
                </c:pt>
                <c:pt idx="30">
                  <c:v>9.0827578406225781E-2</c:v>
                </c:pt>
                <c:pt idx="31">
                  <c:v>8.164302128719024E-2</c:v>
                </c:pt>
                <c:pt idx="32">
                  <c:v>7.3101690382857631E-2</c:v>
                </c:pt>
                <c:pt idx="33">
                  <c:v>6.6415859924169887E-2</c:v>
                </c:pt>
                <c:pt idx="34">
                  <c:v>5.9342932526033149E-2</c:v>
                </c:pt>
                <c:pt idx="35">
                  <c:v>5.3387962293455556E-2</c:v>
                </c:pt>
                <c:pt idx="36">
                  <c:v>4.8543981324390764E-2</c:v>
                </c:pt>
                <c:pt idx="37">
                  <c:v>4.6612999643587019E-2</c:v>
                </c:pt>
                <c:pt idx="38">
                  <c:v>4.4723283441819958E-2</c:v>
                </c:pt>
                <c:pt idx="39">
                  <c:v>4.3013540211649749E-2</c:v>
                </c:pt>
                <c:pt idx="40">
                  <c:v>4.0609289929077155E-2</c:v>
                </c:pt>
                <c:pt idx="41">
                  <c:v>3.9534563919611958E-2</c:v>
                </c:pt>
                <c:pt idx="42">
                  <c:v>3.6936883302031681E-2</c:v>
                </c:pt>
                <c:pt idx="43">
                  <c:v>3.6097408681530947E-2</c:v>
                </c:pt>
                <c:pt idx="44">
                  <c:v>3.5478153636243778E-2</c:v>
                </c:pt>
                <c:pt idx="45">
                  <c:v>3.4693624440356292E-2</c:v>
                </c:pt>
                <c:pt idx="46">
                  <c:v>3.3898420212843214E-2</c:v>
                </c:pt>
                <c:pt idx="47">
                  <c:v>3.2829551107032826E-2</c:v>
                </c:pt>
                <c:pt idx="48">
                  <c:v>3.2717121137488175E-2</c:v>
                </c:pt>
                <c:pt idx="49">
                  <c:v>3.1455175036470759E-2</c:v>
                </c:pt>
                <c:pt idx="50">
                  <c:v>3.1645812460934029E-2</c:v>
                </c:pt>
                <c:pt idx="51">
                  <c:v>3.1004509948085766E-2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94-9048-BCBA-745E98F10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595696"/>
        <c:axId val="728863696"/>
      </c:scatterChart>
      <c:valAx>
        <c:axId val="7255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63696"/>
        <c:crosses val="autoZero"/>
        <c:crossBetween val="midCat"/>
      </c:valAx>
      <c:valAx>
        <c:axId val="728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5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Observed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Florida!$D$4:$D$55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Florida!$F$4:$F$55</c:f>
              <c:numCache>
                <c:formatCode>0.0000</c:formatCode>
                <c:ptCount val="52"/>
                <c:pt idx="0">
                  <c:v>1.03993340006946</c:v>
                </c:pt>
                <c:pt idx="1">
                  <c:v>1.0172048742572084</c:v>
                </c:pt>
                <c:pt idx="2">
                  <c:v>0.92604540175380023</c:v>
                </c:pt>
                <c:pt idx="3">
                  <c:v>0.87617874880919111</c:v>
                </c:pt>
                <c:pt idx="4">
                  <c:v>0.84185010843045471</c:v>
                </c:pt>
                <c:pt idx="5">
                  <c:v>0.80347224587985422</c:v>
                </c:pt>
                <c:pt idx="6">
                  <c:v>0.76526458360839433</c:v>
                </c:pt>
                <c:pt idx="7">
                  <c:v>0.72789672292407515</c:v>
                </c:pt>
                <c:pt idx="8">
                  <c:v>0.68909337622866806</c:v>
                </c:pt>
                <c:pt idx="9">
                  <c:v>0.64565918702066882</c:v>
                </c:pt>
                <c:pt idx="10">
                  <c:v>0.60341342389303487</c:v>
                </c:pt>
                <c:pt idx="11">
                  <c:v>0.55900096568633395</c:v>
                </c:pt>
                <c:pt idx="12">
                  <c:v>0.5109586803850783</c:v>
                </c:pt>
                <c:pt idx="13">
                  <c:v>0.46061678620542001</c:v>
                </c:pt>
                <c:pt idx="14">
                  <c:v>0.40807369459785231</c:v>
                </c:pt>
                <c:pt idx="15">
                  <c:v>0.35663985210490395</c:v>
                </c:pt>
                <c:pt idx="16">
                  <c:v>0.30414089497244684</c:v>
                </c:pt>
                <c:pt idx="17">
                  <c:v>0.25495849925347375</c:v>
                </c:pt>
                <c:pt idx="18">
                  <c:v>0.21092536110242641</c:v>
                </c:pt>
                <c:pt idx="19">
                  <c:v>0.17426908442380565</c:v>
                </c:pt>
                <c:pt idx="20">
                  <c:v>0.14198603047469313</c:v>
                </c:pt>
                <c:pt idx="21">
                  <c:v>0.11494260922547517</c:v>
                </c:pt>
                <c:pt idx="22">
                  <c:v>9.2366269516151941E-2</c:v>
                </c:pt>
                <c:pt idx="23">
                  <c:v>7.4382109411104735E-2</c:v>
                </c:pt>
                <c:pt idx="24">
                  <c:v>5.9843129327770722E-2</c:v>
                </c:pt>
                <c:pt idx="25">
                  <c:v>4.9106997803357741E-2</c:v>
                </c:pt>
                <c:pt idx="26">
                  <c:v>4.0187217960998924E-2</c:v>
                </c:pt>
                <c:pt idx="27">
                  <c:v>3.424855085255045E-2</c:v>
                </c:pt>
                <c:pt idx="28">
                  <c:v>2.962527097232252E-2</c:v>
                </c:pt>
                <c:pt idx="29">
                  <c:v>2.6304791475424662E-2</c:v>
                </c:pt>
                <c:pt idx="30">
                  <c:v>2.3725502436328285E-2</c:v>
                </c:pt>
                <c:pt idx="31">
                  <c:v>2.1862277431650267E-2</c:v>
                </c:pt>
                <c:pt idx="32">
                  <c:v>2.0255791954932253E-2</c:v>
                </c:pt>
                <c:pt idx="33">
                  <c:v>1.8615405756256725E-2</c:v>
                </c:pt>
                <c:pt idx="34">
                  <c:v>1.7361041158214859E-2</c:v>
                </c:pt>
                <c:pt idx="35">
                  <c:v>1.6098666781581557E-2</c:v>
                </c:pt>
                <c:pt idx="36">
                  <c:v>1.5344903548184319E-2</c:v>
                </c:pt>
                <c:pt idx="37">
                  <c:v>1.5292050837915024E-2</c:v>
                </c:pt>
                <c:pt idx="38">
                  <c:v>1.4460128244012703E-2</c:v>
                </c:pt>
                <c:pt idx="39">
                  <c:v>1.402580189883345E-2</c:v>
                </c:pt>
                <c:pt idx="40">
                  <c:v>1.344939908107317E-2</c:v>
                </c:pt>
                <c:pt idx="41">
                  <c:v>1.3144199592572887E-2</c:v>
                </c:pt>
                <c:pt idx="42">
                  <c:v>1.3051307722660702E-2</c:v>
                </c:pt>
                <c:pt idx="43">
                  <c:v>1.2805422896948691E-2</c:v>
                </c:pt>
                <c:pt idx="44">
                  <c:v>1.2547214724198331E-2</c:v>
                </c:pt>
                <c:pt idx="45">
                  <c:v>1.2309298097432407E-2</c:v>
                </c:pt>
                <c:pt idx="46">
                  <c:v>1.2131553551753835E-2</c:v>
                </c:pt>
                <c:pt idx="47">
                  <c:v>1.2142855539411397E-2</c:v>
                </c:pt>
                <c:pt idx="48">
                  <c:v>1.2112307475161295E-2</c:v>
                </c:pt>
                <c:pt idx="49">
                  <c:v>1.2270490595172641E-2</c:v>
                </c:pt>
                <c:pt idx="50">
                  <c:v>1.2253291651806095E-2</c:v>
                </c:pt>
                <c:pt idx="51">
                  <c:v>1.2188189441708895E-2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E6-B345-8829-8A334A5373EE}"/>
            </c:ext>
          </c:extLst>
        </c:ser>
        <c:ser>
          <c:idx val="1"/>
          <c:order val="1"/>
          <c:tx>
            <c:v>Fitted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Florida!$D$4:$D$55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Florida!$E$4:$E$55</c:f>
              <c:numCache>
                <c:formatCode>0.000</c:formatCode>
                <c:ptCount val="52"/>
                <c:pt idx="0">
                  <c:v>0.97246612271644262</c:v>
                </c:pt>
                <c:pt idx="1">
                  <c:v>0.97462883794740973</c:v>
                </c:pt>
                <c:pt idx="2">
                  <c:v>0.96208505540086198</c:v>
                </c:pt>
                <c:pt idx="3">
                  <c:v>0.93575989417865901</c:v>
                </c:pt>
                <c:pt idx="4">
                  <c:v>0.89750406643030323</c:v>
                </c:pt>
                <c:pt idx="5">
                  <c:v>0.84979313656774014</c:v>
                </c:pt>
                <c:pt idx="6">
                  <c:v>0.7953724484561705</c:v>
                </c:pt>
                <c:pt idx="7">
                  <c:v>0.73693225032867904</c:v>
                </c:pt>
                <c:pt idx="8">
                  <c:v>0.67686872535174392</c:v>
                </c:pt>
                <c:pt idx="9">
                  <c:v>0.61714912732288618</c:v>
                </c:pt>
                <c:pt idx="10">
                  <c:v>0.55926959595899528</c:v>
                </c:pt>
                <c:pt idx="11">
                  <c:v>0.50427925611406121</c:v>
                </c:pt>
                <c:pt idx="12">
                  <c:v>0.45284211902643695</c:v>
                </c:pt>
                <c:pt idx="13">
                  <c:v>0.40531367330757462</c:v>
                </c:pt>
                <c:pt idx="14">
                  <c:v>0.36181679708866454</c:v>
                </c:pt>
                <c:pt idx="15">
                  <c:v>0.32230863953599231</c:v>
                </c:pt>
                <c:pt idx="16">
                  <c:v>0.28663520065507531</c:v>
                </c:pt>
                <c:pt idx="17">
                  <c:v>0.25457344231626067</c:v>
                </c:pt>
                <c:pt idx="18">
                  <c:v>0.22586234255434648</c:v>
                </c:pt>
                <c:pt idx="19">
                  <c:v>0.20022489131420243</c:v>
                </c:pt>
                <c:pt idx="20">
                  <c:v>0.17738305218053005</c:v>
                </c:pt>
                <c:pt idx="21">
                  <c:v>0.15706747556748937</c:v>
                </c:pt>
                <c:pt idx="22">
                  <c:v>0.13902341973325613</c:v>
                </c:pt>
                <c:pt idx="23">
                  <c:v>0.12301400884244931</c:v>
                </c:pt>
                <c:pt idx="24">
                  <c:v>0.10882167270385767</c:v>
                </c:pt>
                <c:pt idx="25">
                  <c:v>9.6248382826413695E-2</c:v>
                </c:pt>
                <c:pt idx="26">
                  <c:v>8.5115122100794333E-2</c:v>
                </c:pt>
                <c:pt idx="27">
                  <c:v>7.5260893047897598E-2</c:v>
                </c:pt>
                <c:pt idx="28">
                  <c:v>6.6541473119939742E-2</c:v>
                </c:pt>
                <c:pt idx="29">
                  <c:v>5.8828056564551007E-2</c:v>
                </c:pt>
                <c:pt idx="30">
                  <c:v>5.2005873810234887E-2</c:v>
                </c:pt>
                <c:pt idx="31">
                  <c:v>4.5972845639815109E-2</c:v>
                </c:pt>
                <c:pt idx="32">
                  <c:v>4.0638306365714361E-2</c:v>
                </c:pt>
                <c:pt idx="33">
                  <c:v>3.5921814686472049E-2</c:v>
                </c:pt>
                <c:pt idx="34">
                  <c:v>3.1752060623811092E-2</c:v>
                </c:pt>
                <c:pt idx="35">
                  <c:v>2.8065870294281661E-2</c:v>
                </c:pt>
                <c:pt idx="36">
                  <c:v>2.4807306113250858E-2</c:v>
                </c:pt>
                <c:pt idx="37">
                  <c:v>2.1926857558467225E-2</c:v>
                </c:pt>
                <c:pt idx="38">
                  <c:v>1.9380716276835994E-2</c:v>
                </c:pt>
                <c:pt idx="39">
                  <c:v>1.7130128715581654E-2</c:v>
                </c:pt>
                <c:pt idx="40">
                  <c:v>1.5140819333214241E-2</c:v>
                </c:pt>
                <c:pt idx="41">
                  <c:v>1.3382477616881773E-2</c:v>
                </c:pt>
                <c:pt idx="42">
                  <c:v>1.1828302479712964E-2</c:v>
                </c:pt>
                <c:pt idx="43">
                  <c:v>1.0454598054054154E-2</c:v>
                </c:pt>
                <c:pt idx="44">
                  <c:v>9.2404153812843271E-3</c:v>
                </c:pt>
                <c:pt idx="45">
                  <c:v>8.1672349922940844E-3</c:v>
                </c:pt>
                <c:pt idx="46">
                  <c:v>7.2186858537095335E-3</c:v>
                </c:pt>
                <c:pt idx="47">
                  <c:v>6.3802966111096713E-3</c:v>
                </c:pt>
                <c:pt idx="48">
                  <c:v>5.6392754851230277E-3</c:v>
                </c:pt>
                <c:pt idx="49">
                  <c:v>4.9843155664289545E-3</c:v>
                </c:pt>
                <c:pt idx="50">
                  <c:v>4.4054226107554974E-3</c:v>
                </c:pt>
                <c:pt idx="51">
                  <c:v>3.893762755867189E-3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E6-B345-8829-8A334A537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216688"/>
        <c:axId val="729030928"/>
      </c:scatterChart>
      <c:valAx>
        <c:axId val="73221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30928"/>
        <c:crosses val="autoZero"/>
        <c:crossBetween val="midCat"/>
      </c:valAx>
      <c:valAx>
        <c:axId val="7290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1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Observed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California!$D$4:$D$55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California!$F$5:$F$55</c:f>
              <c:numCache>
                <c:formatCode>0.0000</c:formatCode>
                <c:ptCount val="51"/>
                <c:pt idx="0">
                  <c:v>1.0424053870697858</c:v>
                </c:pt>
                <c:pt idx="1">
                  <c:v>0.98340677954118549</c:v>
                </c:pt>
                <c:pt idx="2">
                  <c:v>0.94361684799254075</c:v>
                </c:pt>
                <c:pt idx="3">
                  <c:v>0.91257806939380703</c:v>
                </c:pt>
                <c:pt idx="4">
                  <c:v>0.88223495202073154</c:v>
                </c:pt>
                <c:pt idx="5">
                  <c:v>0.85546752935714776</c:v>
                </c:pt>
                <c:pt idx="6">
                  <c:v>0.82904892939276131</c:v>
                </c:pt>
                <c:pt idx="7">
                  <c:v>0.80409583549251329</c:v>
                </c:pt>
                <c:pt idx="8">
                  <c:v>0.77920301553120597</c:v>
                </c:pt>
                <c:pt idx="9">
                  <c:v>0.75681635018175442</c:v>
                </c:pt>
                <c:pt idx="10">
                  <c:v>0.73554058264936761</c:v>
                </c:pt>
                <c:pt idx="11">
                  <c:v>0.70881085256965526</c:v>
                </c:pt>
                <c:pt idx="12">
                  <c:v>0.67802069290265077</c:v>
                </c:pt>
                <c:pt idx="13">
                  <c:v>0.64558269968195192</c:v>
                </c:pt>
                <c:pt idx="14">
                  <c:v>0.60955567463114546</c:v>
                </c:pt>
                <c:pt idx="15">
                  <c:v>0.57089707621366415</c:v>
                </c:pt>
                <c:pt idx="16">
                  <c:v>0.53074012968133166</c:v>
                </c:pt>
                <c:pt idx="17">
                  <c:v>0.49116504424504015</c:v>
                </c:pt>
                <c:pt idx="18">
                  <c:v>0.45276762692136702</c:v>
                </c:pt>
                <c:pt idx="19">
                  <c:v>0.41547851450782486</c:v>
                </c:pt>
                <c:pt idx="20">
                  <c:v>0.37957090620092365</c:v>
                </c:pt>
                <c:pt idx="21">
                  <c:v>0.34603981594970867</c:v>
                </c:pt>
                <c:pt idx="22">
                  <c:v>0.31702985748788176</c:v>
                </c:pt>
                <c:pt idx="23">
                  <c:v>0.29076310430850494</c:v>
                </c:pt>
                <c:pt idx="24">
                  <c:v>0.26875149956528704</c:v>
                </c:pt>
                <c:pt idx="25">
                  <c:v>0.24943962046728363</c:v>
                </c:pt>
                <c:pt idx="26">
                  <c:v>0.23475016290908396</c:v>
                </c:pt>
                <c:pt idx="27">
                  <c:v>0.22123307062977593</c:v>
                </c:pt>
                <c:pt idx="28">
                  <c:v>0.21177642940412131</c:v>
                </c:pt>
                <c:pt idx="29">
                  <c:v>0.20386628054442935</c:v>
                </c:pt>
                <c:pt idx="30">
                  <c:v>0.198649253812268</c:v>
                </c:pt>
                <c:pt idx="31">
                  <c:v>0.19450308535506269</c:v>
                </c:pt>
                <c:pt idx="32">
                  <c:v>0.19635942445177001</c:v>
                </c:pt>
                <c:pt idx="33">
                  <c:v>0.1982384620063323</c:v>
                </c:pt>
                <c:pt idx="34">
                  <c:v>0.17655613022438971</c:v>
                </c:pt>
                <c:pt idx="35">
                  <c:v>0.19028827368628531</c:v>
                </c:pt>
                <c:pt idx="36">
                  <c:v>0.18652018905883408</c:v>
                </c:pt>
                <c:pt idx="37">
                  <c:v>0.19413325800001058</c:v>
                </c:pt>
                <c:pt idx="38">
                  <c:v>0.19588220627027919</c:v>
                </c:pt>
                <c:pt idx="39">
                  <c:v>0.19808312993623547</c:v>
                </c:pt>
                <c:pt idx="40">
                  <c:v>0.23196577058322165</c:v>
                </c:pt>
                <c:pt idx="41">
                  <c:v>0.22782352467994979</c:v>
                </c:pt>
                <c:pt idx="42">
                  <c:v>0.22288617275190134</c:v>
                </c:pt>
                <c:pt idx="43">
                  <c:v>0.23435825517295417</c:v>
                </c:pt>
                <c:pt idx="44">
                  <c:v>0.23600866542064947</c:v>
                </c:pt>
                <c:pt idx="45">
                  <c:v>0.23794316267819449</c:v>
                </c:pt>
                <c:pt idx="46">
                  <c:v>0.26897922737534896</c:v>
                </c:pt>
                <c:pt idx="47">
                  <c:v>0.28407500034029148</c:v>
                </c:pt>
                <c:pt idx="48">
                  <c:v>0.29359706739080244</c:v>
                </c:pt>
                <c:pt idx="49">
                  <c:v>0.30768972662556099</c:v>
                </c:pt>
                <c:pt idx="50">
                  <c:v>0.31364501165702119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80-724B-AC3D-BDCD0F26940D}"/>
            </c:ext>
          </c:extLst>
        </c:ser>
        <c:ser>
          <c:idx val="1"/>
          <c:order val="1"/>
          <c:tx>
            <c:v>Fitted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California!$D$4:$D$55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California!$E$4:$E$55</c:f>
              <c:numCache>
                <c:formatCode>0.000</c:formatCode>
                <c:ptCount val="52"/>
                <c:pt idx="0">
                  <c:v>1.0127376759824498</c:v>
                </c:pt>
                <c:pt idx="1">
                  <c:v>1.0036151720345323</c:v>
                </c:pt>
                <c:pt idx="2">
                  <c:v>0.9894673674505543</c:v>
                </c:pt>
                <c:pt idx="3">
                  <c:v>0.97064893019117293</c:v>
                </c:pt>
                <c:pt idx="4">
                  <c:v>0.94761303229737948</c:v>
                </c:pt>
                <c:pt idx="5">
                  <c:v>0.92088605520753208</c:v>
                </c:pt>
                <c:pt idx="6">
                  <c:v>0.89104050625074704</c:v>
                </c:pt>
                <c:pt idx="7">
                  <c:v>0.85866849882567531</c:v>
                </c:pt>
                <c:pt idx="8">
                  <c:v>0.82435773555799718</c:v>
                </c:pt>
                <c:pt idx="9">
                  <c:v>0.78867135047344061</c:v>
                </c:pt>
                <c:pt idx="10">
                  <c:v>0.75213233722767581</c:v>
                </c:pt>
                <c:pt idx="11">
                  <c:v>0.71521271833237099</c:v>
                </c:pt>
                <c:pt idx="12">
                  <c:v>0.67832716080292199</c:v>
                </c:pt>
                <c:pt idx="13">
                  <c:v>0.64183044341596807</c:v>
                </c:pt>
                <c:pt idx="14">
                  <c:v>0.60601802480227696</c:v>
                </c:pt>
                <c:pt idx="15">
                  <c:v>0.57112892477948463</c:v>
                </c:pt>
                <c:pt idx="16">
                  <c:v>0.53735017983574718</c:v>
                </c:pt>
                <c:pt idx="17">
                  <c:v>0.50482223379271463</c:v>
                </c:pt>
                <c:pt idx="18">
                  <c:v>0.47364474807111573</c:v>
                </c:pt>
                <c:pt idx="19">
                  <c:v>0.44388244187819287</c:v>
                </c:pt>
                <c:pt idx="20">
                  <c:v>0.41557068779380674</c:v>
                </c:pt>
                <c:pt idx="21">
                  <c:v>0.38872068571325891</c:v>
                </c:pt>
                <c:pt idx="22">
                  <c:v>0.36332411559420058</c:v>
                </c:pt>
                <c:pt idx="23">
                  <c:v>0.33935722763026344</c:v>
                </c:pt>
                <c:pt idx="24">
                  <c:v>0.31678436967295953</c:v>
                </c:pt>
                <c:pt idx="25">
                  <c:v>0.2955609789781789</c:v>
                </c:pt>
                <c:pt idx="26">
                  <c:v>0.27563608176652832</c:v>
                </c:pt>
                <c:pt idx="27">
                  <c:v>0.2569543524763635</c:v>
                </c:pt>
                <c:pt idx="28">
                  <c:v>0.23945778732738859</c:v>
                </c:pt>
                <c:pt idx="29">
                  <c:v>0.22308704578895885</c:v>
                </c:pt>
                <c:pt idx="30">
                  <c:v>0.20778251019429397</c:v>
                </c:pt>
                <c:pt idx="31">
                  <c:v>0.19348510910334021</c:v>
                </c:pt>
                <c:pt idx="32">
                  <c:v>0.18013694482115294</c:v>
                </c:pt>
                <c:pt idx="33">
                  <c:v>0.16768176020991749</c:v>
                </c:pt>
                <c:pt idx="34">
                  <c:v>0.15606527489459063</c:v>
                </c:pt>
                <c:pt idx="35">
                  <c:v>0.14523541632840778</c:v>
                </c:pt>
                <c:pt idx="36">
                  <c:v>0.13514246703938185</c:v>
                </c:pt>
                <c:pt idx="37">
                  <c:v>0.12573914574721415</c:v>
                </c:pt>
                <c:pt idx="38">
                  <c:v>0.11698063690916453</c:v>
                </c:pt>
                <c:pt idx="39">
                  <c:v>0.10882458058895046</c:v>
                </c:pt>
                <c:pt idx="40">
                  <c:v>0.10123103229901194</c:v>
                </c:pt>
                <c:pt idx="41">
                  <c:v>9.4162400593667206E-2</c:v>
                </c:pt>
                <c:pt idx="42">
                  <c:v>8.7583368639186046E-2</c:v>
                </c:pt>
                <c:pt idx="43">
                  <c:v>8.1460804709900858E-2</c:v>
                </c:pt>
                <c:pt idx="44">
                  <c:v>7.5763665514661668E-2</c:v>
                </c:pt>
                <c:pt idx="45">
                  <c:v>7.0462895407577095E-2</c:v>
                </c:pt>
                <c:pt idx="46">
                  <c:v>6.5531323848308037E-2</c:v>
                </c:pt>
                <c:pt idx="47">
                  <c:v>6.0943562922129199E-2</c:v>
                </c:pt>
                <c:pt idx="48">
                  <c:v>5.6675906284744247E-2</c:v>
                </c:pt>
                <c:pt idx="49">
                  <c:v>5.2706230541453257E-2</c:v>
                </c:pt>
                <c:pt idx="50">
                  <c:v>4.9013899788069235E-2</c:v>
                </c:pt>
                <c:pt idx="51">
                  <c:v>4.5579673818163975E-2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80-724B-AC3D-BDCD0F269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70800"/>
        <c:axId val="638837760"/>
      </c:scatterChart>
      <c:valAx>
        <c:axId val="57297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37760"/>
        <c:crosses val="autoZero"/>
        <c:crossBetween val="midCat"/>
      </c:valAx>
      <c:valAx>
        <c:axId val="6388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Observed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York'!$D$4:$D$55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'New York'!$F$5:$F$55</c:f>
              <c:numCache>
                <c:formatCode>0.0000</c:formatCode>
                <c:ptCount val="51"/>
                <c:pt idx="0">
                  <c:v>0.97492472709483369</c:v>
                </c:pt>
                <c:pt idx="1">
                  <c:v>0.75153684279310373</c:v>
                </c:pt>
                <c:pt idx="2">
                  <c:v>0.66404152858711962</c:v>
                </c:pt>
                <c:pt idx="3">
                  <c:v>0.62961537845146032</c:v>
                </c:pt>
                <c:pt idx="4">
                  <c:v>0.59517884428918388</c:v>
                </c:pt>
                <c:pt idx="5">
                  <c:v>0.56223200139815444</c:v>
                </c:pt>
                <c:pt idx="6">
                  <c:v>0.53058778764353487</c:v>
                </c:pt>
                <c:pt idx="7">
                  <c:v>0.4995539799861749</c:v>
                </c:pt>
                <c:pt idx="8">
                  <c:v>0.46566130719075782</c:v>
                </c:pt>
                <c:pt idx="9">
                  <c:v>0.43267131463448477</c:v>
                </c:pt>
                <c:pt idx="10">
                  <c:v>0.39542252599000688</c:v>
                </c:pt>
                <c:pt idx="11">
                  <c:v>0.35701106920418857</c:v>
                </c:pt>
                <c:pt idx="12">
                  <c:v>0.3123388443788826</c:v>
                </c:pt>
                <c:pt idx="13">
                  <c:v>0.26825238393941198</c:v>
                </c:pt>
                <c:pt idx="14">
                  <c:v>0.22448124806054615</c:v>
                </c:pt>
                <c:pt idx="15">
                  <c:v>0.18344728259851178</c:v>
                </c:pt>
                <c:pt idx="16">
                  <c:v>0.14660575095952474</c:v>
                </c:pt>
                <c:pt idx="17">
                  <c:v>0.11661699690281684</c:v>
                </c:pt>
                <c:pt idx="18">
                  <c:v>9.1962211057412813E-2</c:v>
                </c:pt>
                <c:pt idx="19">
                  <c:v>7.2493499885274496E-2</c:v>
                </c:pt>
                <c:pt idx="20">
                  <c:v>5.6580706938320478E-2</c:v>
                </c:pt>
                <c:pt idx="21">
                  <c:v>4.4361696198177904E-2</c:v>
                </c:pt>
                <c:pt idx="22">
                  <c:v>3.5765085517603247E-2</c:v>
                </c:pt>
                <c:pt idx="23">
                  <c:v>2.9331241753381594E-2</c:v>
                </c:pt>
                <c:pt idx="24">
                  <c:v>2.4551308028214053E-2</c:v>
                </c:pt>
                <c:pt idx="25">
                  <c:v>2.0849409160320031E-2</c:v>
                </c:pt>
                <c:pt idx="26">
                  <c:v>1.8516328445393308E-2</c:v>
                </c:pt>
                <c:pt idx="27">
                  <c:v>1.6448297684443017E-2</c:v>
                </c:pt>
                <c:pt idx="28">
                  <c:v>1.4832404434953346E-2</c:v>
                </c:pt>
                <c:pt idx="29">
                  <c:v>1.3583707580518509E-2</c:v>
                </c:pt>
                <c:pt idx="30">
                  <c:v>1.2629903419586714E-2</c:v>
                </c:pt>
                <c:pt idx="31">
                  <c:v>1.191284679802098E-2</c:v>
                </c:pt>
                <c:pt idx="32">
                  <c:v>1.1168183585346575E-2</c:v>
                </c:pt>
                <c:pt idx="33">
                  <c:v>1.0530287334008069E-2</c:v>
                </c:pt>
                <c:pt idx="34">
                  <c:v>9.8977812259290771E-3</c:v>
                </c:pt>
                <c:pt idx="35">
                  <c:v>9.379179796649097E-3</c:v>
                </c:pt>
                <c:pt idx="36">
                  <c:v>9.002561928550451E-3</c:v>
                </c:pt>
                <c:pt idx="37">
                  <c:v>8.6372163236433496E-3</c:v>
                </c:pt>
                <c:pt idx="38">
                  <c:v>8.3939144553717062E-3</c:v>
                </c:pt>
                <c:pt idx="39">
                  <c:v>8.1596986912562033E-3</c:v>
                </c:pt>
                <c:pt idx="40">
                  <c:v>7.9627828857356912E-3</c:v>
                </c:pt>
                <c:pt idx="41">
                  <c:v>7.7335043123720887E-3</c:v>
                </c:pt>
                <c:pt idx="42">
                  <c:v>7.6167971003687496E-3</c:v>
                </c:pt>
                <c:pt idx="43">
                  <c:v>7.4843310638405902E-3</c:v>
                </c:pt>
                <c:pt idx="44">
                  <c:v>7.3737014915601683E-3</c:v>
                </c:pt>
                <c:pt idx="45">
                  <c:v>7.3333045650527283E-3</c:v>
                </c:pt>
                <c:pt idx="46">
                  <c:v>7.2268162334565914E-3</c:v>
                </c:pt>
                <c:pt idx="47">
                  <c:v>7.1315761671221578E-3</c:v>
                </c:pt>
                <c:pt idx="48">
                  <c:v>7.0799644334509099E-3</c:v>
                </c:pt>
                <c:pt idx="49">
                  <c:v>6.9381438644614763E-3</c:v>
                </c:pt>
                <c:pt idx="50">
                  <c:v>6.870141626143314E-3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F2-524E-B6EA-93C8152F8B7C}"/>
            </c:ext>
          </c:extLst>
        </c:ser>
        <c:ser>
          <c:idx val="1"/>
          <c:order val="1"/>
          <c:tx>
            <c:v>Fitted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'New York'!$D$4:$D$55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xVal>
          <c:yVal>
            <c:numRef>
              <c:f>'New York'!$E$4:$E$55</c:f>
              <c:numCache>
                <c:formatCode>0.000</c:formatCode>
                <c:ptCount val="52"/>
                <c:pt idx="0">
                  <c:v>0.98931279422882878</c:v>
                </c:pt>
                <c:pt idx="1">
                  <c:v>0.9125574950458164</c:v>
                </c:pt>
                <c:pt idx="2">
                  <c:v>0.83642105465449612</c:v>
                </c:pt>
                <c:pt idx="3">
                  <c:v>0.7625498541728295</c:v>
                </c:pt>
                <c:pt idx="4">
                  <c:v>0.6921196296954073</c:v>
                </c:pt>
                <c:pt idx="5">
                  <c:v>0.62589750793610766</c:v>
                </c:pt>
                <c:pt idx="6">
                  <c:v>0.56431791882135429</c:v>
                </c:pt>
                <c:pt idx="7">
                  <c:v>0.50755862728586509</c:v>
                </c:pt>
                <c:pt idx="8">
                  <c:v>0.45560902184372593</c:v>
                </c:pt>
                <c:pt idx="9">
                  <c:v>0.40832721256053645</c:v>
                </c:pt>
                <c:pt idx="10">
                  <c:v>0.36548533298078723</c:v>
                </c:pt>
                <c:pt idx="11">
                  <c:v>0.32680400898841283</c:v>
                </c:pt>
                <c:pt idx="12">
                  <c:v>0.29197764699573991</c:v>
                </c:pt>
                <c:pt idx="13">
                  <c:v>0.26069234946719366</c:v>
                </c:pt>
                <c:pt idx="14">
                  <c:v>0.23263813866903657</c:v>
                </c:pt>
                <c:pt idx="15">
                  <c:v>0.20751692096267277</c:v>
                </c:pt>
                <c:pt idx="16">
                  <c:v>0.18504734683186561</c:v>
                </c:pt>
                <c:pt idx="17">
                  <c:v>0.1649674633870829</c:v>
                </c:pt>
                <c:pt idx="18">
                  <c:v>0.14703583591745634</c:v>
                </c:pt>
                <c:pt idx="19">
                  <c:v>0.13103163754382008</c:v>
                </c:pt>
                <c:pt idx="20">
                  <c:v>0.11675406810787027</c:v>
                </c:pt>
                <c:pt idx="21">
                  <c:v>0.10402135910060702</c:v>
                </c:pt>
                <c:pt idx="22">
                  <c:v>9.2669544093747211E-2</c:v>
                </c:pt>
                <c:pt idx="23">
                  <c:v>8.2551117732107132E-2</c:v>
                </c:pt>
                <c:pt idx="24">
                  <c:v>7.3533665771255918E-2</c:v>
                </c:pt>
                <c:pt idx="25">
                  <c:v>6.5498519823528653E-2</c:v>
                </c:pt>
                <c:pt idx="26">
                  <c:v>5.8339470253367789E-2</c:v>
                </c:pt>
                <c:pt idx="27">
                  <c:v>5.1961556659440244E-2</c:v>
                </c:pt>
                <c:pt idx="28">
                  <c:v>4.627994582979638E-2</c:v>
                </c:pt>
                <c:pt idx="29">
                  <c:v>4.1218900664093082E-2</c:v>
                </c:pt>
                <c:pt idx="30">
                  <c:v>3.6710839386155519E-2</c:v>
                </c:pt>
                <c:pt idx="31">
                  <c:v>3.2695481747205858E-2</c:v>
                </c:pt>
                <c:pt idx="32">
                  <c:v>2.9119077364277633E-2</c:v>
                </c:pt>
                <c:pt idx="33">
                  <c:v>2.5933710508986248E-2</c:v>
                </c:pt>
                <c:pt idx="34">
                  <c:v>2.3096675319026053E-2</c:v>
                </c:pt>
                <c:pt idx="35">
                  <c:v>2.056991538068682E-2</c:v>
                </c:pt>
                <c:pt idx="36">
                  <c:v>1.8319521808792389E-2</c:v>
                </c:pt>
                <c:pt idx="37">
                  <c:v>1.6315284250559794E-2</c:v>
                </c:pt>
                <c:pt idx="38">
                  <c:v>1.4530289607355383E-2</c:v>
                </c:pt>
                <c:pt idx="39">
                  <c:v>1.2940563666549661E-2</c:v>
                </c:pt>
                <c:pt idx="40">
                  <c:v>1.1524751240534224E-2</c:v>
                </c:pt>
                <c:pt idx="41">
                  <c:v>1.0263830806045966E-2</c:v>
                </c:pt>
                <c:pt idx="42">
                  <c:v>9.1408600148040822E-3</c:v>
                </c:pt>
                <c:pt idx="43">
                  <c:v>8.1407488007408137E-3</c:v>
                </c:pt>
                <c:pt idx="44">
                  <c:v>7.250057137170818E-3</c:v>
                </c:pt>
                <c:pt idx="45">
                  <c:v>6.4568147982854074E-3</c:v>
                </c:pt>
                <c:pt idx="46">
                  <c:v>5.7503607537297621E-3</c:v>
                </c:pt>
                <c:pt idx="47">
                  <c:v>5.1212000738035772E-3</c:v>
                </c:pt>
                <c:pt idx="48">
                  <c:v>4.5608764475175406E-3</c:v>
                </c:pt>
                <c:pt idx="49">
                  <c:v>4.0618586180570663E-3</c:v>
                </c:pt>
                <c:pt idx="50">
                  <c:v>3.6174392219498496E-3</c:v>
                </c:pt>
                <c:pt idx="51">
                  <c:v>3.2216446811972189E-3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F2-524E-B6EA-93C8152F8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29728"/>
        <c:axId val="792333568"/>
      </c:scatterChart>
      <c:valAx>
        <c:axId val="766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33568"/>
        <c:crosses val="autoZero"/>
        <c:crossBetween val="midCat"/>
      </c:valAx>
      <c:valAx>
        <c:axId val="7923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2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425450</xdr:colOff>
      <xdr:row>2</xdr:row>
      <xdr:rowOff>184150</xdr:rowOff>
    </xdr:from>
    <xdr:to>
      <xdr:col>15</xdr:col>
      <xdr:colOff>800100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DF24C-CF73-31E3-BF87-A50B89533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374650</xdr:colOff>
      <xdr:row>3</xdr:row>
      <xdr:rowOff>6350</xdr:rowOff>
    </xdr:from>
    <xdr:to>
      <xdr:col>15</xdr:col>
      <xdr:colOff>812800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7E107-50BB-7F46-3A6B-4025AB08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463550</xdr:colOff>
      <xdr:row>2</xdr:row>
      <xdr:rowOff>177800</xdr:rowOff>
    </xdr:from>
    <xdr:to>
      <xdr:col>15</xdr:col>
      <xdr:colOff>774700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7AFC2-F4DE-05C9-64C0-03121BF75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3</xdr:row>
      <xdr:rowOff>31750</xdr:rowOff>
    </xdr:from>
    <xdr:to>
      <xdr:col>14</xdr:col>
      <xdr:colOff>800100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BDADD-8CD0-1F19-39E6-1A552FE85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2C45-EC2B-544F-B1FD-1868667735DA}">
  <dimension ref="A1:G55"/>
  <sheetViews>
    <sheetView workbookViewId="0">
      <selection activeCell="B9" sqref="B9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6</v>
      </c>
      <c r="D2" t="s">
        <v>4</v>
      </c>
    </row>
    <row r="3" spans="1:7" x14ac:dyDescent="0.2">
      <c r="D3">
        <v>1</v>
      </c>
    </row>
    <row r="4" spans="1:7" x14ac:dyDescent="0.2">
      <c r="A4" t="s">
        <v>1</v>
      </c>
      <c r="B4">
        <v>0.717094014686667</v>
      </c>
      <c r="D4">
        <v>0</v>
      </c>
      <c r="E4" s="2">
        <f>$B$4/($B$6*(EXP((D4-$B$5)/2*$B$6)+EXP(-(D4-$B$5)/2*$B$6)))</f>
        <v>1.0564454797551475</v>
      </c>
      <c r="F4" s="3">
        <v>1.1122000000000001</v>
      </c>
      <c r="G4">
        <f>10*(F4-E4)^2</f>
        <v>3.1085665277336798E-2</v>
      </c>
    </row>
    <row r="5" spans="1:7" x14ac:dyDescent="0.2">
      <c r="A5" t="s">
        <v>2</v>
      </c>
      <c r="B5">
        <v>6.1308074982902756</v>
      </c>
      <c r="D5">
        <f>D4+D$3</f>
        <v>1</v>
      </c>
      <c r="E5" s="2">
        <f t="shared" ref="E5:E55" si="0">$B$4/($B$6*(EXP((D5-$B$5)/2*$B$6)+EXP(-(D5-$B$5)/2*$B$6)))</f>
        <v>1.1433720689159246</v>
      </c>
      <c r="F5" s="3">
        <v>1.1707146821323726</v>
      </c>
      <c r="G5">
        <f t="shared" ref="G5:G55" si="1">10*(F5-E5)^2</f>
        <v>7.4761849750427916E-3</v>
      </c>
    </row>
    <row r="6" spans="1:7" x14ac:dyDescent="0.2">
      <c r="A6" t="s">
        <v>3</v>
      </c>
      <c r="B6">
        <v>0.25621714846488558</v>
      </c>
      <c r="D6">
        <f t="shared" ref="D6:D36" si="2">D5+D$3</f>
        <v>2</v>
      </c>
      <c r="E6" s="2">
        <f t="shared" si="0"/>
        <v>1.2239677372482296</v>
      </c>
      <c r="F6" s="3">
        <v>1.2799356043065175</v>
      </c>
      <c r="G6">
        <f t="shared" si="1"/>
        <v>3.1324021430541915E-2</v>
      </c>
    </row>
    <row r="7" spans="1:7" x14ac:dyDescent="0.2">
      <c r="D7">
        <f t="shared" si="2"/>
        <v>3</v>
      </c>
      <c r="E7" s="2">
        <f t="shared" si="0"/>
        <v>1.293910298248236</v>
      </c>
      <c r="F7" s="3">
        <v>1.3230662941230875</v>
      </c>
      <c r="G7">
        <f t="shared" si="1"/>
        <v>8.5007209545435846E-3</v>
      </c>
    </row>
    <row r="8" spans="1:7" x14ac:dyDescent="0.2">
      <c r="B8" t="s">
        <v>5</v>
      </c>
      <c r="D8">
        <f t="shared" si="2"/>
        <v>4</v>
      </c>
      <c r="E8" s="2">
        <f t="shared" si="0"/>
        <v>1.348820591281255</v>
      </c>
      <c r="F8" s="3">
        <v>1.3293428309647803</v>
      </c>
      <c r="G8">
        <f t="shared" si="1"/>
        <v>3.7938314694603405E-3</v>
      </c>
    </row>
    <row r="9" spans="1:7" x14ac:dyDescent="0.2">
      <c r="B9">
        <f>SUM(G4:G34)</f>
        <v>0.73888960825558958</v>
      </c>
      <c r="D9">
        <f t="shared" si="2"/>
        <v>5</v>
      </c>
      <c r="E9" s="2">
        <f t="shared" si="0"/>
        <v>1.3848306412860705</v>
      </c>
      <c r="F9" s="3">
        <v>1.3276957460825665</v>
      </c>
      <c r="G9">
        <f t="shared" si="1"/>
        <v>3.2643962499153856E-2</v>
      </c>
    </row>
    <row r="10" spans="1:7" x14ac:dyDescent="0.2">
      <c r="D10">
        <f t="shared" si="2"/>
        <v>6</v>
      </c>
      <c r="E10" s="2">
        <f t="shared" si="0"/>
        <v>1.3991907744385996</v>
      </c>
      <c r="F10" s="3">
        <v>1.32271370158431</v>
      </c>
      <c r="G10">
        <f t="shared" si="1"/>
        <v>5.8487426723603228E-2</v>
      </c>
    </row>
    <row r="11" spans="1:7" x14ac:dyDescent="0.2">
      <c r="D11">
        <f t="shared" si="2"/>
        <v>7</v>
      </c>
      <c r="E11" s="2">
        <f t="shared" si="0"/>
        <v>1.3907562971351217</v>
      </c>
      <c r="F11" s="3">
        <v>1.3243491161758822</v>
      </c>
      <c r="G11">
        <f t="shared" si="1"/>
        <v>4.4099136829531781E-2</v>
      </c>
    </row>
    <row r="12" spans="1:7" x14ac:dyDescent="0.2">
      <c r="D12">
        <f t="shared" si="2"/>
        <v>8</v>
      </c>
      <c r="E12" s="2">
        <f t="shared" si="0"/>
        <v>1.3602029083855551</v>
      </c>
      <c r="F12" s="3">
        <v>1.3087644115016457</v>
      </c>
      <c r="G12">
        <f t="shared" si="1"/>
        <v>2.6459189616759617E-2</v>
      </c>
    </row>
    <row r="13" spans="1:7" x14ac:dyDescent="0.2">
      <c r="D13">
        <f t="shared" si="2"/>
        <v>9</v>
      </c>
      <c r="E13" s="2">
        <f t="shared" si="0"/>
        <v>1.3098986521436962</v>
      </c>
      <c r="F13" s="3">
        <v>1.2807568790112707</v>
      </c>
      <c r="G13">
        <f t="shared" si="1"/>
        <v>8.4924294130175656E-3</v>
      </c>
    </row>
    <row r="14" spans="1:7" x14ac:dyDescent="0.2">
      <c r="D14">
        <f t="shared" si="2"/>
        <v>10</v>
      </c>
      <c r="E14" s="2">
        <f t="shared" si="0"/>
        <v>1.2434756985579438</v>
      </c>
      <c r="F14" s="1">
        <v>1.2489422929460576</v>
      </c>
      <c r="G14">
        <f t="shared" si="1"/>
        <v>2.9883654204157403E-4</v>
      </c>
    </row>
    <row r="15" spans="1:7" x14ac:dyDescent="0.2">
      <c r="D15">
        <f t="shared" si="2"/>
        <v>11</v>
      </c>
      <c r="E15" s="2">
        <f t="shared" si="0"/>
        <v>1.165238407882343</v>
      </c>
      <c r="F15" s="1">
        <v>1.2006205321173062</v>
      </c>
      <c r="G15">
        <f t="shared" si="1"/>
        <v>1.2518947153783724E-2</v>
      </c>
    </row>
    <row r="16" spans="1:7" x14ac:dyDescent="0.2">
      <c r="D16">
        <f t="shared" si="2"/>
        <v>12</v>
      </c>
      <c r="E16" s="2">
        <f t="shared" si="0"/>
        <v>1.0795716997254343</v>
      </c>
      <c r="F16" s="1">
        <v>1.1331723521363333</v>
      </c>
      <c r="G16">
        <f t="shared" si="1"/>
        <v>2.8730299388740076E-2</v>
      </c>
    </row>
    <row r="17" spans="4:7" x14ac:dyDescent="0.2">
      <c r="D17">
        <f t="shared" si="2"/>
        <v>13</v>
      </c>
      <c r="E17" s="2">
        <f t="shared" si="0"/>
        <v>0.99047557441775158</v>
      </c>
      <c r="F17" s="1">
        <v>1.0569942503638896</v>
      </c>
      <c r="G17">
        <f t="shared" si="1"/>
        <v>4.4247342496273219E-2</v>
      </c>
    </row>
    <row r="18" spans="4:7" x14ac:dyDescent="0.2">
      <c r="D18">
        <f t="shared" si="2"/>
        <v>14</v>
      </c>
      <c r="E18" s="2">
        <f t="shared" si="0"/>
        <v>0.90128167057540209</v>
      </c>
      <c r="F18" s="1">
        <v>0.97209947367182981</v>
      </c>
      <c r="G18">
        <f t="shared" si="1"/>
        <v>5.015161235404407E-2</v>
      </c>
    </row>
    <row r="19" spans="4:7" x14ac:dyDescent="0.2">
      <c r="D19">
        <f t="shared" si="2"/>
        <v>15</v>
      </c>
      <c r="E19" s="2">
        <f t="shared" si="0"/>
        <v>0.81454422925299841</v>
      </c>
      <c r="F19" s="1">
        <v>0.87952649277798967</v>
      </c>
      <c r="G19">
        <f t="shared" si="1"/>
        <v>4.2226945728314091E-2</v>
      </c>
    </row>
    <row r="20" spans="4:7" x14ac:dyDescent="0.2">
      <c r="D20">
        <f t="shared" si="2"/>
        <v>16</v>
      </c>
      <c r="E20" s="2">
        <f t="shared" si="0"/>
        <v>0.73206130830070104</v>
      </c>
      <c r="F20" s="1">
        <v>0.7786566933623813</v>
      </c>
      <c r="G20">
        <f t="shared" si="1"/>
        <v>2.1711299090462561E-2</v>
      </c>
    </row>
    <row r="21" spans="4:7" x14ac:dyDescent="0.2">
      <c r="D21">
        <f t="shared" si="2"/>
        <v>17</v>
      </c>
      <c r="E21" s="2">
        <f t="shared" si="0"/>
        <v>0.65497299636163187</v>
      </c>
      <c r="F21" s="1">
        <v>0.68657553723894027</v>
      </c>
      <c r="G21">
        <f t="shared" si="1"/>
        <v>9.9872058990194863E-3</v>
      </c>
    </row>
    <row r="22" spans="4:7" x14ac:dyDescent="0.2">
      <c r="D22">
        <f t="shared" si="2"/>
        <v>18</v>
      </c>
      <c r="E22" s="2">
        <f t="shared" si="0"/>
        <v>0.58389158417855114</v>
      </c>
      <c r="F22" s="1">
        <v>0.59826355799923114</v>
      </c>
      <c r="G22">
        <f t="shared" si="1"/>
        <v>2.0655363150231146E-3</v>
      </c>
    </row>
    <row r="23" spans="4:7" x14ac:dyDescent="0.2">
      <c r="D23">
        <f t="shared" si="2"/>
        <v>19</v>
      </c>
      <c r="E23" s="2">
        <f t="shared" si="0"/>
        <v>0.51903320576501477</v>
      </c>
      <c r="F23" s="1">
        <v>0.51612140962142694</v>
      </c>
      <c r="G23">
        <f t="shared" si="1"/>
        <v>8.4785567818129601E-5</v>
      </c>
    </row>
    <row r="24" spans="4:7" x14ac:dyDescent="0.2">
      <c r="D24">
        <f t="shared" si="2"/>
        <v>20</v>
      </c>
      <c r="E24" s="2">
        <f t="shared" si="0"/>
        <v>0.46033425700746605</v>
      </c>
      <c r="F24" s="1">
        <v>0.44015711898773191</v>
      </c>
      <c r="G24">
        <f t="shared" si="1"/>
        <v>4.0711689866740099E-3</v>
      </c>
    </row>
    <row r="25" spans="4:7" x14ac:dyDescent="0.2">
      <c r="D25">
        <f t="shared" si="2"/>
        <v>21</v>
      </c>
      <c r="E25" s="2">
        <f t="shared" si="0"/>
        <v>0.40754599660770369</v>
      </c>
      <c r="F25" s="1">
        <v>0.37237760518616347</v>
      </c>
      <c r="G25">
        <f t="shared" si="1"/>
        <v>1.2368157551786631E-2</v>
      </c>
    </row>
    <row r="26" spans="4:7" x14ac:dyDescent="0.2">
      <c r="D26">
        <f t="shared" si="2"/>
        <v>22</v>
      </c>
      <c r="E26" s="2">
        <f t="shared" si="0"/>
        <v>0.36030687386415378</v>
      </c>
      <c r="F26" s="1">
        <v>0.31635456845075438</v>
      </c>
      <c r="G26">
        <f t="shared" si="1"/>
        <v>1.9318051511527379E-2</v>
      </c>
    </row>
    <row r="27" spans="4:7" x14ac:dyDescent="0.2">
      <c r="D27">
        <f t="shared" si="2"/>
        <v>23</v>
      </c>
      <c r="E27" s="2">
        <f t="shared" si="0"/>
        <v>0.31819520003713508</v>
      </c>
      <c r="F27" s="1">
        <v>0.26753494584409804</v>
      </c>
      <c r="G27">
        <f t="shared" si="1"/>
        <v>2.5664613549031275E-2</v>
      </c>
    </row>
    <row r="28" spans="4:7" x14ac:dyDescent="0.2">
      <c r="D28">
        <f t="shared" si="2"/>
        <v>24</v>
      </c>
      <c r="E28" s="2">
        <f t="shared" si="0"/>
        <v>0.28076587774176026</v>
      </c>
      <c r="F28" s="1">
        <v>0.22164532475504375</v>
      </c>
      <c r="G28">
        <f t="shared" si="1"/>
        <v>3.4952397854551544E-2</v>
      </c>
    </row>
    <row r="29" spans="4:7" x14ac:dyDescent="0.2">
      <c r="D29">
        <f t="shared" si="2"/>
        <v>25</v>
      </c>
      <c r="E29" s="2">
        <f t="shared" si="0"/>
        <v>0.24757491282474164</v>
      </c>
      <c r="F29" s="1">
        <v>0.18512456944172984</v>
      </c>
      <c r="G29">
        <f t="shared" si="1"/>
        <v>3.9000453886560871E-2</v>
      </c>
    </row>
    <row r="30" spans="4:7" x14ac:dyDescent="0.2">
      <c r="D30">
        <f t="shared" si="2"/>
        <v>26</v>
      </c>
      <c r="E30" s="2">
        <f t="shared" si="0"/>
        <v>0.21819494743135795</v>
      </c>
      <c r="F30" s="1">
        <v>0.15565967286466911</v>
      </c>
      <c r="G30">
        <f t="shared" si="1"/>
        <v>3.9106605651311598E-2</v>
      </c>
    </row>
    <row r="31" spans="4:7" x14ac:dyDescent="0.2">
      <c r="D31">
        <f t="shared" si="2"/>
        <v>27</v>
      </c>
      <c r="E31" s="2">
        <f t="shared" si="0"/>
        <v>0.1922244147361101</v>
      </c>
      <c r="F31" s="1">
        <v>0.13381966774335069</v>
      </c>
      <c r="G31">
        <f t="shared" si="1"/>
        <v>3.4111144712882388E-2</v>
      </c>
    </row>
    <row r="32" spans="4:7" x14ac:dyDescent="0.2">
      <c r="D32">
        <f t="shared" si="2"/>
        <v>28</v>
      </c>
      <c r="E32" s="2">
        <f t="shared" si="0"/>
        <v>0.16929229831020542</v>
      </c>
      <c r="F32" s="1">
        <v>0.11688718635260947</v>
      </c>
      <c r="G32">
        <f t="shared" si="1"/>
        <v>2.7462957592881664E-2</v>
      </c>
    </row>
    <row r="33" spans="4:7" x14ac:dyDescent="0.2">
      <c r="D33">
        <f t="shared" si="2"/>
        <v>29</v>
      </c>
      <c r="E33" s="2">
        <f t="shared" si="0"/>
        <v>0.14905995379674383</v>
      </c>
      <c r="F33" s="1">
        <v>0.10201490716442815</v>
      </c>
      <c r="G33">
        <f t="shared" si="1"/>
        <v>2.2132364126367567E-2</v>
      </c>
    </row>
    <row r="34" spans="4:7" x14ac:dyDescent="0.2">
      <c r="D34">
        <f t="shared" si="2"/>
        <v>30</v>
      </c>
      <c r="E34" s="2">
        <f t="shared" si="0"/>
        <v>0.13122103469248991</v>
      </c>
      <c r="F34" s="1">
        <v>9.0827578406225781E-2</v>
      </c>
      <c r="G34">
        <f t="shared" si="1"/>
        <v>1.6316313107503311E-2</v>
      </c>
    </row>
    <row r="35" spans="4:7" x14ac:dyDescent="0.2">
      <c r="D35">
        <f t="shared" si="2"/>
        <v>31</v>
      </c>
      <c r="E35" s="2">
        <f t="shared" si="0"/>
        <v>0.11550024959407419</v>
      </c>
      <c r="F35" s="1">
        <v>8.164302128719024E-2</v>
      </c>
      <c r="G35">
        <f t="shared" si="1"/>
        <v>1.1463119086244641E-2</v>
      </c>
    </row>
    <row r="36" spans="4:7" x14ac:dyDescent="0.2">
      <c r="D36">
        <f t="shared" si="2"/>
        <v>32</v>
      </c>
      <c r="E36" s="2">
        <f t="shared" si="0"/>
        <v>0.10165144800738884</v>
      </c>
      <c r="F36" s="1">
        <v>7.3101690382857631E-2</v>
      </c>
      <c r="G36">
        <f t="shared" si="1"/>
        <v>8.1508866041947823E-3</v>
      </c>
    </row>
    <row r="37" spans="4:7" x14ac:dyDescent="0.2">
      <c r="D37">
        <f t="shared" ref="D37:D55" si="3">D36+D$3</f>
        <v>33</v>
      </c>
      <c r="E37" s="2">
        <f t="shared" si="0"/>
        <v>8.9455367173907133E-2</v>
      </c>
      <c r="F37" s="1">
        <v>6.6415859924169887E-2</v>
      </c>
      <c r="G37">
        <f t="shared" si="1"/>
        <v>5.3081889431069512E-3</v>
      </c>
    </row>
    <row r="38" spans="4:7" x14ac:dyDescent="0.2">
      <c r="D38">
        <f t="shared" si="3"/>
        <v>34</v>
      </c>
      <c r="E38" s="2">
        <f t="shared" si="0"/>
        <v>7.8717256846996791E-2</v>
      </c>
      <c r="F38" s="1">
        <v>5.9342932526033149E-2</v>
      </c>
      <c r="G38">
        <f t="shared" si="1"/>
        <v>3.7536444289388337E-3</v>
      </c>
    </row>
    <row r="39" spans="4:7" x14ac:dyDescent="0.2">
      <c r="D39">
        <f t="shared" si="3"/>
        <v>35</v>
      </c>
      <c r="E39" s="2">
        <f t="shared" si="0"/>
        <v>6.9264519200741378E-2</v>
      </c>
      <c r="F39" s="1">
        <v>5.3387962293455556E-2</v>
      </c>
      <c r="G39">
        <f t="shared" si="1"/>
        <v>2.5206505923028519E-3</v>
      </c>
    </row>
    <row r="40" spans="4:7" x14ac:dyDescent="0.2">
      <c r="D40">
        <f t="shared" si="3"/>
        <v>36</v>
      </c>
      <c r="E40" s="2">
        <f t="shared" si="0"/>
        <v>6.0944446824599756E-2</v>
      </c>
      <c r="F40" s="1">
        <v>4.8543981324390764E-2</v>
      </c>
      <c r="G40">
        <f t="shared" si="1"/>
        <v>1.5377154462187343E-3</v>
      </c>
    </row>
    <row r="41" spans="4:7" x14ac:dyDescent="0.2">
      <c r="D41">
        <f t="shared" si="3"/>
        <v>37</v>
      </c>
      <c r="E41" s="2">
        <f t="shared" si="0"/>
        <v>5.3622105453022754E-2</v>
      </c>
      <c r="F41" s="1">
        <v>4.6612999643587019E-2</v>
      </c>
      <c r="G41">
        <f t="shared" si="1"/>
        <v>4.9127564247865773E-4</v>
      </c>
    </row>
    <row r="42" spans="4:7" x14ac:dyDescent="0.2">
      <c r="D42">
        <f t="shared" si="3"/>
        <v>38</v>
      </c>
      <c r="E42" s="2">
        <f t="shared" si="0"/>
        <v>4.7178384203257519E-2</v>
      </c>
      <c r="F42" s="1">
        <v>4.4723283441819958E-2</v>
      </c>
      <c r="G42">
        <f t="shared" si="1"/>
        <v>6.0275197488112894E-5</v>
      </c>
    </row>
    <row r="43" spans="4:7" x14ac:dyDescent="0.2">
      <c r="D43">
        <f t="shared" si="3"/>
        <v>39</v>
      </c>
      <c r="E43" s="2">
        <f t="shared" si="0"/>
        <v>4.1508220738555479E-2</v>
      </c>
      <c r="F43" s="1">
        <v>4.3013540211649749E-2</v>
      </c>
      <c r="G43">
        <f t="shared" si="1"/>
        <v>2.2659867160768113E-5</v>
      </c>
    </row>
    <row r="44" spans="4:7" x14ac:dyDescent="0.2">
      <c r="D44">
        <f t="shared" si="3"/>
        <v>40</v>
      </c>
      <c r="E44" s="2">
        <f t="shared" si="0"/>
        <v>3.6518999195350177E-2</v>
      </c>
      <c r="F44" s="1">
        <v>4.0609289929077155E-2</v>
      </c>
      <c r="G44">
        <f t="shared" si="1"/>
        <v>1.6730478286412781E-4</v>
      </c>
    </row>
    <row r="45" spans="4:7" x14ac:dyDescent="0.2">
      <c r="D45">
        <f t="shared" si="3"/>
        <v>41</v>
      </c>
      <c r="E45" s="2">
        <f t="shared" si="0"/>
        <v>3.2129113007514948E-2</v>
      </c>
      <c r="F45" s="1">
        <v>3.9534563919611958E-2</v>
      </c>
      <c r="G45">
        <f t="shared" si="1"/>
        <v>5.4840703211478435E-4</v>
      </c>
    </row>
    <row r="46" spans="4:7" x14ac:dyDescent="0.2">
      <c r="D46">
        <f t="shared" si="3"/>
        <v>42</v>
      </c>
      <c r="E46" s="2">
        <f t="shared" si="0"/>
        <v>2.8266681618212917E-2</v>
      </c>
      <c r="F46" s="1">
        <v>3.6936883302031681E-2</v>
      </c>
      <c r="G46">
        <f t="shared" si="1"/>
        <v>7.5172397238093742E-4</v>
      </c>
    </row>
    <row r="47" spans="4:7" x14ac:dyDescent="0.2">
      <c r="D47">
        <f t="shared" si="3"/>
        <v>43</v>
      </c>
      <c r="E47" s="2">
        <f t="shared" si="0"/>
        <v>2.4868408595641774E-2</v>
      </c>
      <c r="F47" s="1">
        <v>3.6097408681530947E-2</v>
      </c>
      <c r="G47">
        <f t="shared" si="1"/>
        <v>1.2609044292889908E-3</v>
      </c>
    </row>
    <row r="48" spans="4:7" x14ac:dyDescent="0.2">
      <c r="D48">
        <f t="shared" si="3"/>
        <v>44</v>
      </c>
      <c r="E48" s="2">
        <f t="shared" si="0"/>
        <v>2.18785682574087E-2</v>
      </c>
      <c r="F48" s="1">
        <v>3.5478153636243778E-2</v>
      </c>
      <c r="G48">
        <f t="shared" si="1"/>
        <v>1.8494872247622487E-3</v>
      </c>
    </row>
    <row r="49" spans="4:7" x14ac:dyDescent="0.2">
      <c r="D49">
        <f t="shared" si="3"/>
        <v>45</v>
      </c>
      <c r="E49" s="2">
        <f t="shared" si="0"/>
        <v>1.9248108152564013E-2</v>
      </c>
      <c r="F49" s="1">
        <v>3.4693624440356292E-2</v>
      </c>
      <c r="G49">
        <f t="shared" si="1"/>
        <v>2.3856397339645659E-3</v>
      </c>
    </row>
    <row r="50" spans="4:7" x14ac:dyDescent="0.2">
      <c r="D50">
        <f t="shared" si="3"/>
        <v>46</v>
      </c>
      <c r="E50" s="2">
        <f t="shared" si="0"/>
        <v>1.6933855379985804E-2</v>
      </c>
      <c r="F50" s="1">
        <v>3.3898420212843214E-2</v>
      </c>
      <c r="G50">
        <f t="shared" si="1"/>
        <v>2.8779645996822234E-3</v>
      </c>
    </row>
    <row r="51" spans="4:7" x14ac:dyDescent="0.2">
      <c r="D51">
        <f t="shared" si="3"/>
        <v>47</v>
      </c>
      <c r="E51" s="2">
        <f t="shared" si="0"/>
        <v>1.4897815559138721E-2</v>
      </c>
      <c r="F51" s="1">
        <v>3.2829551107032826E-2</v>
      </c>
      <c r="G51">
        <f t="shared" si="1"/>
        <v>3.2154713975960899E-3</v>
      </c>
    </row>
    <row r="52" spans="4:7" x14ac:dyDescent="0.2">
      <c r="D52">
        <f t="shared" si="3"/>
        <v>48</v>
      </c>
      <c r="E52" s="2">
        <f t="shared" si="0"/>
        <v>1.3106554199353658E-2</v>
      </c>
      <c r="F52" s="1">
        <v>3.2717121137488175E-2</v>
      </c>
      <c r="G52">
        <f t="shared" si="1"/>
        <v>3.8457433563505463E-3</v>
      </c>
    </row>
    <row r="53" spans="4:7" x14ac:dyDescent="0.2">
      <c r="D53">
        <f t="shared" si="3"/>
        <v>49</v>
      </c>
      <c r="E53" s="2">
        <f t="shared" si="0"/>
        <v>1.1530651164068277E-2</v>
      </c>
      <c r="F53" s="1">
        <v>3.1455175036470759E-2</v>
      </c>
      <c r="G53">
        <f t="shared" si="1"/>
        <v>3.9698665154193642E-3</v>
      </c>
    </row>
    <row r="54" spans="4:7" x14ac:dyDescent="0.2">
      <c r="D54">
        <f t="shared" si="3"/>
        <v>50</v>
      </c>
      <c r="E54" s="2">
        <f t="shared" si="0"/>
        <v>1.0144219852528204E-2</v>
      </c>
      <c r="F54" s="1">
        <v>3.1645812460934029E-2</v>
      </c>
      <c r="G54">
        <f t="shared" si="1"/>
        <v>4.6231848469785201E-3</v>
      </c>
    </row>
    <row r="55" spans="4:7" x14ac:dyDescent="0.2">
      <c r="D55">
        <f t="shared" si="3"/>
        <v>51</v>
      </c>
      <c r="E55" s="2">
        <f t="shared" si="0"/>
        <v>8.9244835975355388E-3</v>
      </c>
      <c r="F55" s="1">
        <v>3.1004509948085766E-2</v>
      </c>
      <c r="G55">
        <f t="shared" si="1"/>
        <v>4.8752756364099231E-3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8AEF-2F4E-584F-B670-CE998228B1BF}">
  <dimension ref="A1:G55"/>
  <sheetViews>
    <sheetView workbookViewId="0">
      <selection activeCell="J31" sqref="J31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7</v>
      </c>
      <c r="D2" t="s">
        <v>4</v>
      </c>
    </row>
    <row r="3" spans="1:7" x14ac:dyDescent="0.2">
      <c r="D3">
        <v>1</v>
      </c>
    </row>
    <row r="4" spans="1:7" x14ac:dyDescent="0.2">
      <c r="A4" t="s">
        <v>1</v>
      </c>
      <c r="B4">
        <v>0.48177580802074887</v>
      </c>
      <c r="D4">
        <v>0</v>
      </c>
      <c r="E4" s="2">
        <f>$B$4/($B$6*(EXP((D4-$B$5)/2*$B$6)+EXP(-(D4-$B$5)/2*$B$6)))</f>
        <v>0.97246612271644262</v>
      </c>
      <c r="F4" s="3">
        <v>1.03993340006946</v>
      </c>
      <c r="G4">
        <f>10*(F4-E4)^2</f>
        <v>4.5518335134289725E-2</v>
      </c>
    </row>
    <row r="5" spans="1:7" x14ac:dyDescent="0.2">
      <c r="A5" t="s">
        <v>2</v>
      </c>
      <c r="B5">
        <v>0.64594138340976925</v>
      </c>
      <c r="D5">
        <f>D4+D$3</f>
        <v>1</v>
      </c>
      <c r="E5" s="2">
        <f t="shared" ref="E5:E55" si="0">$B$4/($B$6*(EXP((D5-$B$5)/2*$B$6)+EXP(-(D5-$B$5)/2*$B$6)))</f>
        <v>0.97462883794740973</v>
      </c>
      <c r="F5" s="3">
        <v>1.0172048742572084</v>
      </c>
      <c r="G5">
        <f t="shared" ref="G5:G55" si="1">10*(F5-E5)^2</f>
        <v>1.8127188678532948E-2</v>
      </c>
    </row>
    <row r="6" spans="1:7" x14ac:dyDescent="0.2">
      <c r="A6" t="s">
        <v>3</v>
      </c>
      <c r="B6">
        <v>0.24692265918409881</v>
      </c>
      <c r="D6">
        <f t="shared" ref="D6:D55" si="2">D5+D$3</f>
        <v>2</v>
      </c>
      <c r="E6" s="2">
        <f t="shared" si="0"/>
        <v>0.96208505540086198</v>
      </c>
      <c r="F6" s="3">
        <v>0.92604540175380023</v>
      </c>
      <c r="G6">
        <f t="shared" si="1"/>
        <v>1.2988566350001706E-2</v>
      </c>
    </row>
    <row r="7" spans="1:7" x14ac:dyDescent="0.2">
      <c r="D7">
        <f t="shared" si="2"/>
        <v>3</v>
      </c>
      <c r="E7" s="2">
        <f t="shared" si="0"/>
        <v>0.93575989417865901</v>
      </c>
      <c r="F7" s="3">
        <v>0.87617874880919111</v>
      </c>
      <c r="G7">
        <f t="shared" si="1"/>
        <v>3.5499128835376662E-2</v>
      </c>
    </row>
    <row r="8" spans="1:7" x14ac:dyDescent="0.2">
      <c r="B8" t="s">
        <v>5</v>
      </c>
      <c r="D8">
        <f t="shared" si="2"/>
        <v>4</v>
      </c>
      <c r="E8" s="2">
        <f t="shared" si="0"/>
        <v>0.89750406643030323</v>
      </c>
      <c r="F8" s="3">
        <v>0.84185010843045471</v>
      </c>
      <c r="G8">
        <f t="shared" si="1"/>
        <v>3.0973630410489023E-2</v>
      </c>
    </row>
    <row r="9" spans="1:7" x14ac:dyDescent="0.2">
      <c r="B9">
        <f>SUM(G4:G34)</f>
        <v>0.5341904907759546</v>
      </c>
      <c r="D9">
        <f t="shared" si="2"/>
        <v>5</v>
      </c>
      <c r="E9" s="2">
        <f t="shared" si="0"/>
        <v>0.84979313656774014</v>
      </c>
      <c r="F9" s="3">
        <v>0.80347224587985422</v>
      </c>
      <c r="G9">
        <f t="shared" si="1"/>
        <v>2.1456249141190764E-2</v>
      </c>
    </row>
    <row r="10" spans="1:7" x14ac:dyDescent="0.2">
      <c r="D10">
        <f t="shared" si="2"/>
        <v>6</v>
      </c>
      <c r="E10" s="2">
        <f t="shared" si="0"/>
        <v>0.7953724484561705</v>
      </c>
      <c r="F10" s="3">
        <v>0.76526458360839433</v>
      </c>
      <c r="G10">
        <f t="shared" si="1"/>
        <v>9.0648352569195588E-3</v>
      </c>
    </row>
    <row r="11" spans="1:7" x14ac:dyDescent="0.2">
      <c r="D11">
        <f t="shared" si="2"/>
        <v>7</v>
      </c>
      <c r="E11" s="2">
        <f t="shared" si="0"/>
        <v>0.73693225032867904</v>
      </c>
      <c r="F11" s="3">
        <v>0.72789672292407515</v>
      </c>
      <c r="G11">
        <f t="shared" si="1"/>
        <v>8.1640755479347972E-4</v>
      </c>
    </row>
    <row r="12" spans="1:7" x14ac:dyDescent="0.2">
      <c r="D12">
        <f t="shared" si="2"/>
        <v>8</v>
      </c>
      <c r="E12" s="2">
        <f t="shared" si="0"/>
        <v>0.67686872535174392</v>
      </c>
      <c r="F12" s="3">
        <v>0.68909337622866806</v>
      </c>
      <c r="G12">
        <f t="shared" si="1"/>
        <v>1.4944208906268234E-3</v>
      </c>
    </row>
    <row r="13" spans="1:7" x14ac:dyDescent="0.2">
      <c r="D13">
        <f t="shared" si="2"/>
        <v>9</v>
      </c>
      <c r="E13" s="2">
        <f t="shared" si="0"/>
        <v>0.61714912732288618</v>
      </c>
      <c r="F13" s="3">
        <v>0.64565918702066882</v>
      </c>
      <c r="G13">
        <f t="shared" si="1"/>
        <v>8.1282350397113012E-3</v>
      </c>
    </row>
    <row r="14" spans="1:7" x14ac:dyDescent="0.2">
      <c r="D14">
        <f t="shared" si="2"/>
        <v>10</v>
      </c>
      <c r="E14" s="2">
        <f t="shared" si="0"/>
        <v>0.55926959595899528</v>
      </c>
      <c r="F14" s="1">
        <v>0.60341342389303487</v>
      </c>
      <c r="G14">
        <f t="shared" si="1"/>
        <v>1.9486775446700941E-2</v>
      </c>
    </row>
    <row r="15" spans="1:7" x14ac:dyDescent="0.2">
      <c r="D15">
        <f t="shared" si="2"/>
        <v>11</v>
      </c>
      <c r="E15" s="2">
        <f t="shared" si="0"/>
        <v>0.50427925611406121</v>
      </c>
      <c r="F15" s="1">
        <v>0.55900096568633395</v>
      </c>
      <c r="G15">
        <f t="shared" si="1"/>
        <v>2.9944654985121655E-2</v>
      </c>
    </row>
    <row r="16" spans="1:7" x14ac:dyDescent="0.2">
      <c r="D16">
        <f t="shared" si="2"/>
        <v>12</v>
      </c>
      <c r="E16" s="2">
        <f t="shared" si="0"/>
        <v>0.45284211902643695</v>
      </c>
      <c r="F16" s="1">
        <v>0.5109586803850783</v>
      </c>
      <c r="G16">
        <f t="shared" si="1"/>
        <v>3.3775347041527251E-2</v>
      </c>
    </row>
    <row r="17" spans="4:7" x14ac:dyDescent="0.2">
      <c r="D17">
        <f t="shared" si="2"/>
        <v>13</v>
      </c>
      <c r="E17" s="2">
        <f t="shared" si="0"/>
        <v>0.40531367330757462</v>
      </c>
      <c r="F17" s="1">
        <v>0.46061678620542001</v>
      </c>
      <c r="G17">
        <f t="shared" si="1"/>
        <v>3.0584342961918337E-2</v>
      </c>
    </row>
    <row r="18" spans="4:7" x14ac:dyDescent="0.2">
      <c r="D18">
        <f t="shared" si="2"/>
        <v>14</v>
      </c>
      <c r="E18" s="2">
        <f t="shared" si="0"/>
        <v>0.36181679708866454</v>
      </c>
      <c r="F18" s="1">
        <v>0.40807369459785231</v>
      </c>
      <c r="G18">
        <f t="shared" si="1"/>
        <v>2.1397005671755016E-2</v>
      </c>
    </row>
    <row r="19" spans="4:7" x14ac:dyDescent="0.2">
      <c r="D19">
        <f t="shared" si="2"/>
        <v>15</v>
      </c>
      <c r="E19" s="2">
        <f t="shared" si="0"/>
        <v>0.32230863953599231</v>
      </c>
      <c r="F19" s="1">
        <v>0.35663985210490395</v>
      </c>
      <c r="G19">
        <f t="shared" si="1"/>
        <v>1.1786321564517966E-2</v>
      </c>
    </row>
    <row r="20" spans="4:7" x14ac:dyDescent="0.2">
      <c r="D20">
        <f t="shared" si="2"/>
        <v>16</v>
      </c>
      <c r="E20" s="2">
        <f t="shared" si="0"/>
        <v>0.28663520065507531</v>
      </c>
      <c r="F20" s="1">
        <v>0.30414089497244684</v>
      </c>
      <c r="G20">
        <f t="shared" si="1"/>
        <v>3.0644933353325401E-3</v>
      </c>
    </row>
    <row r="21" spans="4:7" x14ac:dyDescent="0.2">
      <c r="D21">
        <f t="shared" si="2"/>
        <v>17</v>
      </c>
      <c r="E21" s="2">
        <f t="shared" si="0"/>
        <v>0.25457344231626067</v>
      </c>
      <c r="F21" s="1">
        <v>0.25495849925347375</v>
      </c>
      <c r="G21">
        <f t="shared" si="1"/>
        <v>1.4826884489591755E-6</v>
      </c>
    </row>
    <row r="22" spans="4:7" x14ac:dyDescent="0.2">
      <c r="D22">
        <f t="shared" si="2"/>
        <v>18</v>
      </c>
      <c r="E22" s="2">
        <f t="shared" si="0"/>
        <v>0.22586234255434648</v>
      </c>
      <c r="F22" s="1">
        <v>0.21092536110242641</v>
      </c>
      <c r="G22">
        <f t="shared" si="1"/>
        <v>2.2311341489500429E-3</v>
      </c>
    </row>
    <row r="23" spans="4:7" x14ac:dyDescent="0.2">
      <c r="D23">
        <f t="shared" si="2"/>
        <v>19</v>
      </c>
      <c r="E23" s="2">
        <f t="shared" si="0"/>
        <v>0.20022489131420243</v>
      </c>
      <c r="F23" s="1">
        <v>0.17426908442380565</v>
      </c>
      <c r="G23">
        <f t="shared" si="1"/>
        <v>6.7370391133156904E-3</v>
      </c>
    </row>
    <row r="24" spans="4:7" x14ac:dyDescent="0.2">
      <c r="D24">
        <f t="shared" si="2"/>
        <v>20</v>
      </c>
      <c r="E24" s="2">
        <f t="shared" si="0"/>
        <v>0.17738305218053005</v>
      </c>
      <c r="F24" s="1">
        <v>0.14198603047469313</v>
      </c>
      <c r="G24">
        <f t="shared" si="1"/>
        <v>1.2529491456434899E-2</v>
      </c>
    </row>
    <row r="25" spans="4:7" x14ac:dyDescent="0.2">
      <c r="D25">
        <f t="shared" si="2"/>
        <v>21</v>
      </c>
      <c r="E25" s="2">
        <f t="shared" si="0"/>
        <v>0.15706747556748937</v>
      </c>
      <c r="F25" s="1">
        <v>0.11494260922547517</v>
      </c>
      <c r="G25">
        <f t="shared" si="1"/>
        <v>1.774504364332561E-2</v>
      </c>
    </row>
    <row r="26" spans="4:7" x14ac:dyDescent="0.2">
      <c r="D26">
        <f t="shared" si="2"/>
        <v>22</v>
      </c>
      <c r="E26" s="2">
        <f t="shared" si="0"/>
        <v>0.13902341973325613</v>
      </c>
      <c r="F26" s="1">
        <v>9.2366269516151941E-2</v>
      </c>
      <c r="G26">
        <f t="shared" si="1"/>
        <v>2.1768896663814256E-2</v>
      </c>
    </row>
    <row r="27" spans="4:7" x14ac:dyDescent="0.2">
      <c r="D27">
        <f t="shared" si="2"/>
        <v>23</v>
      </c>
      <c r="E27" s="2">
        <f t="shared" si="0"/>
        <v>0.12301400884244931</v>
      </c>
      <c r="F27" s="1">
        <v>7.4382109411104735E-2</v>
      </c>
      <c r="G27">
        <f t="shared" si="1"/>
        <v>2.3650616423004128E-2</v>
      </c>
    </row>
    <row r="28" spans="4:7" x14ac:dyDescent="0.2">
      <c r="D28">
        <f t="shared" si="2"/>
        <v>24</v>
      </c>
      <c r="E28" s="2">
        <f t="shared" si="0"/>
        <v>0.10882167270385767</v>
      </c>
      <c r="F28" s="1">
        <v>5.9843129327770722E-2</v>
      </c>
      <c r="G28">
        <f t="shared" si="1"/>
        <v>2.3988977112432312E-2</v>
      </c>
    </row>
    <row r="29" spans="4:7" x14ac:dyDescent="0.2">
      <c r="D29">
        <f t="shared" si="2"/>
        <v>25</v>
      </c>
      <c r="E29" s="2">
        <f t="shared" si="0"/>
        <v>9.6248382826413695E-2</v>
      </c>
      <c r="F29" s="1">
        <v>4.9106997803357741E-2</v>
      </c>
      <c r="G29">
        <f t="shared" si="1"/>
        <v>2.2223101818920045E-2</v>
      </c>
    </row>
    <row r="30" spans="4:7" x14ac:dyDescent="0.2">
      <c r="D30">
        <f t="shared" si="2"/>
        <v>26</v>
      </c>
      <c r="E30" s="2">
        <f t="shared" si="0"/>
        <v>8.5115122100794333E-2</v>
      </c>
      <c r="F30" s="1">
        <v>4.0187217960998924E-2</v>
      </c>
      <c r="G30">
        <f t="shared" si="1"/>
        <v>2.0185165703946455E-2</v>
      </c>
    </row>
    <row r="31" spans="4:7" x14ac:dyDescent="0.2">
      <c r="D31">
        <f t="shared" si="2"/>
        <v>27</v>
      </c>
      <c r="E31" s="2">
        <f t="shared" si="0"/>
        <v>7.5260893047897598E-2</v>
      </c>
      <c r="F31" s="1">
        <v>3.424855085255045E-2</v>
      </c>
      <c r="G31">
        <f t="shared" si="1"/>
        <v>1.6820122123482523E-2</v>
      </c>
    </row>
    <row r="32" spans="4:7" x14ac:dyDescent="0.2">
      <c r="D32">
        <f t="shared" si="2"/>
        <v>28</v>
      </c>
      <c r="E32" s="2">
        <f t="shared" si="0"/>
        <v>6.6541473119939742E-2</v>
      </c>
      <c r="F32" s="1">
        <v>2.962527097232252E-2</v>
      </c>
      <c r="G32">
        <f t="shared" si="1"/>
        <v>1.3628059810037382E-2</v>
      </c>
    </row>
    <row r="33" spans="4:7" x14ac:dyDescent="0.2">
      <c r="D33">
        <f t="shared" si="2"/>
        <v>29</v>
      </c>
      <c r="E33" s="2">
        <f t="shared" si="0"/>
        <v>5.8828056564551007E-2</v>
      </c>
      <c r="F33" s="1">
        <v>2.6304791475424662E-2</v>
      </c>
      <c r="G33">
        <f t="shared" si="1"/>
        <v>1.0577627720575841E-2</v>
      </c>
    </row>
    <row r="34" spans="4:7" x14ac:dyDescent="0.2">
      <c r="D34">
        <f t="shared" si="2"/>
        <v>30</v>
      </c>
      <c r="E34" s="2">
        <f t="shared" si="0"/>
        <v>5.2005873810234887E-2</v>
      </c>
      <c r="F34" s="1">
        <v>2.3725502436328285E-2</v>
      </c>
      <c r="G34">
        <f t="shared" si="1"/>
        <v>7.9977940504607596E-3</v>
      </c>
    </row>
    <row r="35" spans="4:7" x14ac:dyDescent="0.2">
      <c r="D35">
        <f t="shared" si="2"/>
        <v>31</v>
      </c>
      <c r="E35" s="2">
        <f t="shared" si="0"/>
        <v>4.5972845639815109E-2</v>
      </c>
      <c r="F35" s="1">
        <v>2.1862277431650267E-2</v>
      </c>
      <c r="G35">
        <f t="shared" si="1"/>
        <v>5.813194993205692E-3</v>
      </c>
    </row>
    <row r="36" spans="4:7" x14ac:dyDescent="0.2">
      <c r="D36">
        <f t="shared" si="2"/>
        <v>32</v>
      </c>
      <c r="E36" s="2">
        <f t="shared" si="0"/>
        <v>4.0638306365714361E-2</v>
      </c>
      <c r="F36" s="1">
        <v>2.0255791954932253E-2</v>
      </c>
      <c r="G36">
        <f t="shared" si="1"/>
        <v>4.1544689370574027E-3</v>
      </c>
    </row>
    <row r="37" spans="4:7" x14ac:dyDescent="0.2">
      <c r="D37">
        <f t="shared" si="2"/>
        <v>33</v>
      </c>
      <c r="E37" s="2">
        <f t="shared" si="0"/>
        <v>3.5921814686472049E-2</v>
      </c>
      <c r="F37" s="1">
        <v>1.8615405756256725E-2</v>
      </c>
      <c r="G37">
        <f t="shared" si="1"/>
        <v>2.995117900598367E-3</v>
      </c>
    </row>
    <row r="38" spans="4:7" x14ac:dyDescent="0.2">
      <c r="D38">
        <f t="shared" si="2"/>
        <v>34</v>
      </c>
      <c r="E38" s="2">
        <f t="shared" si="0"/>
        <v>3.1752060623811092E-2</v>
      </c>
      <c r="F38" s="1">
        <v>1.7361041158214859E-2</v>
      </c>
      <c r="G38">
        <f t="shared" si="1"/>
        <v>2.0710144125916968E-3</v>
      </c>
    </row>
    <row r="39" spans="4:7" x14ac:dyDescent="0.2">
      <c r="D39">
        <f t="shared" si="2"/>
        <v>35</v>
      </c>
      <c r="E39" s="2">
        <f t="shared" si="0"/>
        <v>2.8065870294281661E-2</v>
      </c>
      <c r="F39" s="1">
        <v>1.6098666781581557E-2</v>
      </c>
      <c r="G39">
        <f t="shared" si="1"/>
        <v>1.432139599143817E-3</v>
      </c>
    </row>
    <row r="40" spans="4:7" x14ac:dyDescent="0.2">
      <c r="D40">
        <f t="shared" si="2"/>
        <v>36</v>
      </c>
      <c r="E40" s="2">
        <f t="shared" si="0"/>
        <v>2.4807306113250858E-2</v>
      </c>
      <c r="F40" s="1">
        <v>1.5344903548184319E-2</v>
      </c>
      <c r="G40">
        <f t="shared" si="1"/>
        <v>8.9537062303377815E-4</v>
      </c>
    </row>
    <row r="41" spans="4:7" x14ac:dyDescent="0.2">
      <c r="D41">
        <f t="shared" si="2"/>
        <v>37</v>
      </c>
      <c r="E41" s="2">
        <f t="shared" si="0"/>
        <v>2.1926857558467225E-2</v>
      </c>
      <c r="F41" s="1">
        <v>1.5292050837915024E-2</v>
      </c>
      <c r="G41">
        <f t="shared" si="1"/>
        <v>4.4020660219084662E-4</v>
      </c>
    </row>
    <row r="42" spans="4:7" x14ac:dyDescent="0.2">
      <c r="D42">
        <f t="shared" si="2"/>
        <v>38</v>
      </c>
      <c r="E42" s="2">
        <f t="shared" si="0"/>
        <v>1.9380716276835994E-2</v>
      </c>
      <c r="F42" s="1">
        <v>1.4460128244012703E-2</v>
      </c>
      <c r="G42">
        <f t="shared" si="1"/>
        <v>2.4212186588763786E-4</v>
      </c>
    </row>
    <row r="43" spans="4:7" x14ac:dyDescent="0.2">
      <c r="D43">
        <f t="shared" si="2"/>
        <v>39</v>
      </c>
      <c r="E43" s="2">
        <f t="shared" si="0"/>
        <v>1.7130128715581654E-2</v>
      </c>
      <c r="F43" s="1">
        <v>1.402580189883345E-2</v>
      </c>
      <c r="G43">
        <f t="shared" si="1"/>
        <v>9.6368449851820423E-5</v>
      </c>
    </row>
    <row r="44" spans="4:7" x14ac:dyDescent="0.2">
      <c r="D44">
        <f t="shared" si="2"/>
        <v>40</v>
      </c>
      <c r="E44" s="2">
        <f t="shared" si="0"/>
        <v>1.5140819333214241E-2</v>
      </c>
      <c r="F44" s="1">
        <v>1.344939908107317E-2</v>
      </c>
      <c r="G44">
        <f t="shared" si="1"/>
        <v>2.8609024693529641E-5</v>
      </c>
    </row>
    <row r="45" spans="4:7" x14ac:dyDescent="0.2">
      <c r="D45">
        <f t="shared" si="2"/>
        <v>41</v>
      </c>
      <c r="E45" s="2">
        <f t="shared" si="0"/>
        <v>1.3382477616881773E-2</v>
      </c>
      <c r="F45" s="1">
        <v>1.3144199592572887E-2</v>
      </c>
      <c r="G45">
        <f t="shared" si="1"/>
        <v>5.6776416868546186E-7</v>
      </c>
    </row>
    <row r="46" spans="4:7" x14ac:dyDescent="0.2">
      <c r="D46">
        <f t="shared" si="2"/>
        <v>42</v>
      </c>
      <c r="E46" s="2">
        <f t="shared" si="0"/>
        <v>1.1828302479712964E-2</v>
      </c>
      <c r="F46" s="1">
        <v>1.3051307722660702E-2</v>
      </c>
      <c r="G46">
        <f t="shared" si="1"/>
        <v>1.4957418242776545E-5</v>
      </c>
    </row>
    <row r="47" spans="4:7" x14ac:dyDescent="0.2">
      <c r="D47">
        <f t="shared" si="2"/>
        <v>43</v>
      </c>
      <c r="E47" s="2">
        <f t="shared" si="0"/>
        <v>1.0454598054054154E-2</v>
      </c>
      <c r="F47" s="1">
        <v>1.2805422896948691E-2</v>
      </c>
      <c r="G47">
        <f t="shared" si="1"/>
        <v>5.5263774419701234E-5</v>
      </c>
    </row>
    <row r="48" spans="4:7" x14ac:dyDescent="0.2">
      <c r="D48">
        <f t="shared" si="2"/>
        <v>44</v>
      </c>
      <c r="E48" s="2">
        <f t="shared" si="0"/>
        <v>9.2404153812843271E-3</v>
      </c>
      <c r="F48" s="1">
        <v>1.2547214724198331E-2</v>
      </c>
      <c r="G48">
        <f t="shared" si="1"/>
        <v>1.0934921894296486E-4</v>
      </c>
    </row>
    <row r="49" spans="4:7" x14ac:dyDescent="0.2">
      <c r="D49">
        <f t="shared" si="2"/>
        <v>45</v>
      </c>
      <c r="E49" s="2">
        <f t="shared" si="0"/>
        <v>8.1672349922940844E-3</v>
      </c>
      <c r="F49" s="1">
        <v>1.2309298097432407E-2</v>
      </c>
      <c r="G49">
        <f t="shared" si="1"/>
        <v>1.7156686766948127E-4</v>
      </c>
    </row>
    <row r="50" spans="4:7" x14ac:dyDescent="0.2">
      <c r="D50">
        <f t="shared" si="2"/>
        <v>46</v>
      </c>
      <c r="E50" s="2">
        <f t="shared" si="0"/>
        <v>7.2186858537095335E-3</v>
      </c>
      <c r="F50" s="1">
        <v>1.2131553551753835E-2</v>
      </c>
      <c r="G50">
        <f t="shared" si="1"/>
        <v>2.4136269018487113E-4</v>
      </c>
    </row>
    <row r="51" spans="4:7" x14ac:dyDescent="0.2">
      <c r="D51">
        <f t="shared" si="2"/>
        <v>47</v>
      </c>
      <c r="E51" s="2">
        <f t="shared" si="0"/>
        <v>6.3802966111096713E-3</v>
      </c>
      <c r="F51" s="1">
        <v>1.2142855539411397E-2</v>
      </c>
      <c r="G51">
        <f t="shared" si="1"/>
        <v>3.3207085402149931E-4</v>
      </c>
    </row>
    <row r="52" spans="4:7" x14ac:dyDescent="0.2">
      <c r="D52">
        <f t="shared" si="2"/>
        <v>48</v>
      </c>
      <c r="E52" s="2">
        <f t="shared" si="0"/>
        <v>5.6392754851230277E-3</v>
      </c>
      <c r="F52" s="1">
        <v>1.2112307475161295E-2</v>
      </c>
      <c r="G52">
        <f t="shared" si="1"/>
        <v>4.1900143144058769E-4</v>
      </c>
    </row>
    <row r="53" spans="4:7" x14ac:dyDescent="0.2">
      <c r="D53">
        <f t="shared" si="2"/>
        <v>49</v>
      </c>
      <c r="E53" s="2">
        <f t="shared" si="0"/>
        <v>4.9843155664289545E-3</v>
      </c>
      <c r="F53" s="1">
        <v>1.2270490595172641E-2</v>
      </c>
      <c r="G53">
        <f t="shared" si="1"/>
        <v>5.3088346549488049E-4</v>
      </c>
    </row>
    <row r="54" spans="4:7" x14ac:dyDescent="0.2">
      <c r="D54">
        <f t="shared" si="2"/>
        <v>50</v>
      </c>
      <c r="E54" s="2">
        <f t="shared" si="0"/>
        <v>4.4054226107554974E-3</v>
      </c>
      <c r="F54" s="1">
        <v>1.2253291651806095E-2</v>
      </c>
      <c r="G54">
        <f t="shared" si="1"/>
        <v>6.1589048485480421E-4</v>
      </c>
    </row>
    <row r="55" spans="4:7" x14ac:dyDescent="0.2">
      <c r="D55">
        <f t="shared" si="2"/>
        <v>51</v>
      </c>
      <c r="E55" s="2">
        <f t="shared" si="0"/>
        <v>3.893762755867189E-3</v>
      </c>
      <c r="F55" s="1">
        <v>1.2188189441708895E-2</v>
      </c>
      <c r="G55">
        <f t="shared" si="1"/>
        <v>6.879751404680305E-4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73A6-2775-2D4D-8560-09AAA48C2BBD}">
  <dimension ref="A1:G55"/>
  <sheetViews>
    <sheetView tabSelected="1" workbookViewId="0">
      <selection activeCell="D4" sqref="D4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8</v>
      </c>
      <c r="D2" t="s">
        <v>4</v>
      </c>
    </row>
    <row r="3" spans="1:7" x14ac:dyDescent="0.2">
      <c r="D3">
        <v>1</v>
      </c>
    </row>
    <row r="4" spans="1:7" x14ac:dyDescent="0.2">
      <c r="A4" t="s">
        <v>1</v>
      </c>
      <c r="B4">
        <v>0.29574967897168086</v>
      </c>
      <c r="D4">
        <v>0</v>
      </c>
      <c r="E4" s="2">
        <f>$B$4/($B$6*(EXP((D4-$B$5)/2*$B$6)+EXP(-(D4-$B$5)/2*$B$6)))</f>
        <v>1.0127376759824498</v>
      </c>
      <c r="F4" s="3" t="s">
        <v>9</v>
      </c>
      <c r="G4">
        <f>10*(F4-E4)^2</f>
        <v>2.1007016467214104E-2</v>
      </c>
    </row>
    <row r="5" spans="1:7" x14ac:dyDescent="0.2">
      <c r="A5" t="s">
        <v>2</v>
      </c>
      <c r="B5">
        <v>-1.2207217194322424</v>
      </c>
      <c r="D5">
        <f>D4+D$3</f>
        <v>1</v>
      </c>
      <c r="E5" s="2">
        <f t="shared" ref="E5:E55" si="0">$B$4/($B$6*(EXP((D5-$B$5)/2*$B$6)+EXP(-(D5-$B$5)/2*$B$6)))</f>
        <v>1.0036151720345323</v>
      </c>
      <c r="F5" s="3">
        <v>1.0424053870697858</v>
      </c>
      <c r="G5">
        <f t="shared" ref="G5:G55" si="1">10*(F5-E5)^2</f>
        <v>1.5046807824812054E-2</v>
      </c>
    </row>
    <row r="6" spans="1:7" x14ac:dyDescent="0.2">
      <c r="A6" t="s">
        <v>3</v>
      </c>
      <c r="B6">
        <v>0.14544150099016712</v>
      </c>
      <c r="D6">
        <f t="shared" ref="D6:D55" si="2">D5+D$3</f>
        <v>2</v>
      </c>
      <c r="E6" s="2">
        <f t="shared" si="0"/>
        <v>0.9894673674505543</v>
      </c>
      <c r="F6" s="3">
        <v>0.98340677954118549</v>
      </c>
      <c r="G6">
        <f t="shared" si="1"/>
        <v>3.6730725807187386E-4</v>
      </c>
    </row>
    <row r="7" spans="1:7" x14ac:dyDescent="0.2">
      <c r="D7">
        <f t="shared" si="2"/>
        <v>3</v>
      </c>
      <c r="E7" s="2">
        <f t="shared" si="0"/>
        <v>0.97064893019117293</v>
      </c>
      <c r="F7" s="3">
        <v>0.94361684799254075</v>
      </c>
      <c r="G7">
        <f t="shared" si="1"/>
        <v>7.3073346799360679E-3</v>
      </c>
    </row>
    <row r="8" spans="1:7" x14ac:dyDescent="0.2">
      <c r="B8" t="s">
        <v>5</v>
      </c>
      <c r="D8">
        <f t="shared" si="2"/>
        <v>4</v>
      </c>
      <c r="E8" s="2">
        <f t="shared" si="0"/>
        <v>0.94761303229737948</v>
      </c>
      <c r="F8" s="3">
        <v>0.91257806939380703</v>
      </c>
      <c r="G8">
        <f t="shared" si="1"/>
        <v>1.2274486256546972E-2</v>
      </c>
    </row>
    <row r="9" spans="1:7" x14ac:dyDescent="0.2">
      <c r="B9">
        <f>SUM(G4:G34)</f>
        <v>0.215678493954545</v>
      </c>
      <c r="D9">
        <f t="shared" si="2"/>
        <v>5</v>
      </c>
      <c r="E9" s="2">
        <f t="shared" si="0"/>
        <v>0.92088605520753208</v>
      </c>
      <c r="F9" s="3">
        <v>0.88223495202073154</v>
      </c>
      <c r="G9">
        <f t="shared" si="1"/>
        <v>1.4939077775567029E-2</v>
      </c>
    </row>
    <row r="10" spans="1:7" x14ac:dyDescent="0.2">
      <c r="D10">
        <f t="shared" si="2"/>
        <v>6</v>
      </c>
      <c r="E10" s="2">
        <f t="shared" si="0"/>
        <v>0.89104050625074704</v>
      </c>
      <c r="F10" s="3">
        <v>0.85546752935714776</v>
      </c>
      <c r="G10">
        <f t="shared" si="1"/>
        <v>1.2654366850725487E-2</v>
      </c>
    </row>
    <row r="11" spans="1:7" x14ac:dyDescent="0.2">
      <c r="D11">
        <f t="shared" si="2"/>
        <v>7</v>
      </c>
      <c r="E11" s="2">
        <f t="shared" si="0"/>
        <v>0.85866849882567531</v>
      </c>
      <c r="F11" s="3">
        <v>0.82904892939276131</v>
      </c>
      <c r="G11">
        <f t="shared" si="1"/>
        <v>8.7731889339121311E-3</v>
      </c>
    </row>
    <row r="12" spans="1:7" x14ac:dyDescent="0.2">
      <c r="D12">
        <f t="shared" si="2"/>
        <v>8</v>
      </c>
      <c r="E12" s="2">
        <f t="shared" si="0"/>
        <v>0.82435773555799718</v>
      </c>
      <c r="F12" s="3">
        <v>0.80409583549251329</v>
      </c>
      <c r="G12">
        <f t="shared" si="1"/>
        <v>4.1054459426365627E-3</v>
      </c>
    </row>
    <row r="13" spans="1:7" x14ac:dyDescent="0.2">
      <c r="D13">
        <f t="shared" si="2"/>
        <v>9</v>
      </c>
      <c r="E13" s="2">
        <f t="shared" si="0"/>
        <v>0.78867135047344061</v>
      </c>
      <c r="F13" s="3">
        <v>0.77920301553120597</v>
      </c>
      <c r="G13">
        <f t="shared" si="1"/>
        <v>8.9649366578341575E-4</v>
      </c>
    </row>
    <row r="14" spans="1:7" x14ac:dyDescent="0.2">
      <c r="D14">
        <f t="shared" si="2"/>
        <v>10</v>
      </c>
      <c r="E14" s="2">
        <f t="shared" si="0"/>
        <v>0.75213233722767581</v>
      </c>
      <c r="F14" s="1">
        <v>0.75681635018175442</v>
      </c>
      <c r="G14">
        <f t="shared" si="1"/>
        <v>2.1939977353976217E-4</v>
      </c>
    </row>
    <row r="15" spans="1:7" x14ac:dyDescent="0.2">
      <c r="D15">
        <f t="shared" si="2"/>
        <v>11</v>
      </c>
      <c r="E15" s="2">
        <f t="shared" si="0"/>
        <v>0.71521271833237099</v>
      </c>
      <c r="F15" s="1">
        <v>0.73554058264936761</v>
      </c>
      <c r="G15">
        <f t="shared" si="1"/>
        <v>4.1322206769022467E-3</v>
      </c>
    </row>
    <row r="16" spans="1:7" x14ac:dyDescent="0.2">
      <c r="D16">
        <f t="shared" si="2"/>
        <v>12</v>
      </c>
      <c r="E16" s="2">
        <f t="shared" si="0"/>
        <v>0.67832716080292199</v>
      </c>
      <c r="F16" s="1">
        <v>0.70881085256965526</v>
      </c>
      <c r="G16">
        <f t="shared" si="1"/>
        <v>9.2925546372920158E-3</v>
      </c>
    </row>
    <row r="17" spans="4:7" x14ac:dyDescent="0.2">
      <c r="D17">
        <f t="shared" si="2"/>
        <v>13</v>
      </c>
      <c r="E17" s="2">
        <f t="shared" si="0"/>
        <v>0.64183044341596807</v>
      </c>
      <c r="F17" s="1">
        <v>0.67802069290265077</v>
      </c>
      <c r="G17">
        <f t="shared" si="1"/>
        <v>1.3097341579083375E-2</v>
      </c>
    </row>
    <row r="18" spans="4:7" x14ac:dyDescent="0.2">
      <c r="D18">
        <f t="shared" si="2"/>
        <v>14</v>
      </c>
      <c r="E18" s="2">
        <f t="shared" si="0"/>
        <v>0.60601802480227696</v>
      </c>
      <c r="F18" s="1">
        <v>0.64558269968195192</v>
      </c>
      <c r="G18">
        <f t="shared" si="1"/>
        <v>1.5653634983343833E-2</v>
      </c>
    </row>
    <row r="19" spans="4:7" x14ac:dyDescent="0.2">
      <c r="D19">
        <f t="shared" si="2"/>
        <v>15</v>
      </c>
      <c r="E19" s="2">
        <f t="shared" si="0"/>
        <v>0.57112892477948463</v>
      </c>
      <c r="F19" s="1">
        <v>0.60955567463114546</v>
      </c>
      <c r="G19">
        <f t="shared" si="1"/>
        <v>1.4766151041621161E-2</v>
      </c>
    </row>
    <row r="20" spans="4:7" x14ac:dyDescent="0.2">
      <c r="D20">
        <f t="shared" si="2"/>
        <v>16</v>
      </c>
      <c r="E20" s="2">
        <f t="shared" si="0"/>
        <v>0.53735017983574718</v>
      </c>
      <c r="F20" s="1">
        <v>0.57089707621366415</v>
      </c>
      <c r="G20">
        <f t="shared" si="1"/>
        <v>1.1253942565906986E-2</v>
      </c>
    </row>
    <row r="21" spans="4:7" x14ac:dyDescent="0.2">
      <c r="D21">
        <f t="shared" si="2"/>
        <v>17</v>
      </c>
      <c r="E21" s="2">
        <f t="shared" si="0"/>
        <v>0.50482223379271463</v>
      </c>
      <c r="F21" s="1">
        <v>0.53074012968133166</v>
      </c>
      <c r="G21">
        <f t="shared" si="1"/>
        <v>6.7173732729319197E-3</v>
      </c>
    </row>
    <row r="22" spans="4:7" x14ac:dyDescent="0.2">
      <c r="D22">
        <f t="shared" si="2"/>
        <v>18</v>
      </c>
      <c r="E22" s="2">
        <f t="shared" si="0"/>
        <v>0.47364474807111573</v>
      </c>
      <c r="F22" s="1">
        <v>0.49116504424504015</v>
      </c>
      <c r="G22">
        <f t="shared" si="1"/>
        <v>3.069607780220307E-3</v>
      </c>
    </row>
    <row r="23" spans="4:7" x14ac:dyDescent="0.2">
      <c r="D23">
        <f t="shared" si="2"/>
        <v>19</v>
      </c>
      <c r="E23" s="2">
        <f t="shared" si="0"/>
        <v>0.44388244187819287</v>
      </c>
      <c r="F23" s="1">
        <v>0.45276762692136702</v>
      </c>
      <c r="G23">
        <f t="shared" si="1"/>
        <v>7.8946513251445605E-4</v>
      </c>
    </row>
    <row r="24" spans="4:7" x14ac:dyDescent="0.2">
      <c r="D24">
        <f t="shared" si="2"/>
        <v>20</v>
      </c>
      <c r="E24" s="2">
        <f t="shared" si="0"/>
        <v>0.41557068779380674</v>
      </c>
      <c r="F24" s="1">
        <v>0.41547851450782486</v>
      </c>
      <c r="G24">
        <f t="shared" si="1"/>
        <v>8.4959146486970703E-8</v>
      </c>
    </row>
    <row r="25" spans="4:7" x14ac:dyDescent="0.2">
      <c r="D25">
        <f t="shared" si="2"/>
        <v>21</v>
      </c>
      <c r="E25" s="2">
        <f t="shared" si="0"/>
        <v>0.38872068571325891</v>
      </c>
      <c r="F25" s="1">
        <v>0.37957090620092365</v>
      </c>
      <c r="G25">
        <f t="shared" si="1"/>
        <v>8.371846512434996E-4</v>
      </c>
    </row>
    <row r="26" spans="4:7" x14ac:dyDescent="0.2">
      <c r="D26">
        <f t="shared" si="2"/>
        <v>22</v>
      </c>
      <c r="E26" s="2">
        <f t="shared" si="0"/>
        <v>0.36332411559420058</v>
      </c>
      <c r="F26" s="1">
        <v>0.34603981594970867</v>
      </c>
      <c r="G26">
        <f t="shared" si="1"/>
        <v>2.9874701420058306E-3</v>
      </c>
    </row>
    <row r="27" spans="4:7" x14ac:dyDescent="0.2">
      <c r="D27">
        <f t="shared" si="2"/>
        <v>23</v>
      </c>
      <c r="E27" s="2">
        <f t="shared" si="0"/>
        <v>0.33935722763026344</v>
      </c>
      <c r="F27" s="1">
        <v>0.31702985748788176</v>
      </c>
      <c r="G27">
        <f t="shared" si="1"/>
        <v>4.9851145747491664E-3</v>
      </c>
    </row>
    <row r="28" spans="4:7" x14ac:dyDescent="0.2">
      <c r="D28">
        <f t="shared" si="2"/>
        <v>24</v>
      </c>
      <c r="E28" s="2">
        <f t="shared" si="0"/>
        <v>0.31678436967295953</v>
      </c>
      <c r="F28" s="1">
        <v>0.29076310430850494</v>
      </c>
      <c r="G28">
        <f t="shared" si="1"/>
        <v>6.7710625116736423E-3</v>
      </c>
    </row>
    <row r="29" spans="4:7" x14ac:dyDescent="0.2">
      <c r="D29">
        <f t="shared" si="2"/>
        <v>25</v>
      </c>
      <c r="E29" s="2">
        <f t="shared" si="0"/>
        <v>0.2955609789781789</v>
      </c>
      <c r="F29" s="1">
        <v>0.26875149956528704</v>
      </c>
      <c r="G29">
        <f t="shared" si="1"/>
        <v>7.1874818639027227E-3</v>
      </c>
    </row>
    <row r="30" spans="4:7" x14ac:dyDescent="0.2">
      <c r="D30">
        <f t="shared" si="2"/>
        <v>26</v>
      </c>
      <c r="E30" s="2">
        <f t="shared" si="0"/>
        <v>0.27563608176652832</v>
      </c>
      <c r="F30" s="1">
        <v>0.24943962046728363</v>
      </c>
      <c r="G30">
        <f t="shared" si="1"/>
        <v>6.8625458460282477E-3</v>
      </c>
    </row>
    <row r="31" spans="4:7" x14ac:dyDescent="0.2">
      <c r="D31">
        <f t="shared" si="2"/>
        <v>27</v>
      </c>
      <c r="E31" s="2">
        <f t="shared" si="0"/>
        <v>0.2569543524763635</v>
      </c>
      <c r="F31" s="1">
        <v>0.23475016290908396</v>
      </c>
      <c r="G31">
        <f t="shared" si="1"/>
        <v>4.9302603433968566E-3</v>
      </c>
    </row>
    <row r="32" spans="4:7" x14ac:dyDescent="0.2">
      <c r="D32">
        <f t="shared" si="2"/>
        <v>28</v>
      </c>
      <c r="E32" s="2">
        <f t="shared" si="0"/>
        <v>0.23945778732738859</v>
      </c>
      <c r="F32" s="1">
        <v>0.22123307062977593</v>
      </c>
      <c r="G32">
        <f t="shared" si="1"/>
        <v>3.3214029870824186E-3</v>
      </c>
    </row>
    <row r="33" spans="4:7" x14ac:dyDescent="0.2">
      <c r="D33">
        <f t="shared" si="2"/>
        <v>29</v>
      </c>
      <c r="E33" s="2">
        <f t="shared" si="0"/>
        <v>0.22308704578895885</v>
      </c>
      <c r="F33" s="1">
        <v>0.21177642940412131</v>
      </c>
      <c r="G33">
        <f t="shared" si="1"/>
        <v>1.2793004300495556E-3</v>
      </c>
    </row>
    <row r="34" spans="4:7" x14ac:dyDescent="0.2">
      <c r="D34">
        <f t="shared" si="2"/>
        <v>30</v>
      </c>
      <c r="E34" s="2">
        <f t="shared" si="0"/>
        <v>0.20778251019429397</v>
      </c>
      <c r="F34" s="1">
        <v>0.20386628054442935</v>
      </c>
      <c r="G34">
        <f t="shared" si="1"/>
        <v>1.5336854670478824E-4</v>
      </c>
    </row>
    <row r="35" spans="4:7" x14ac:dyDescent="0.2">
      <c r="D35">
        <f t="shared" si="2"/>
        <v>31</v>
      </c>
      <c r="E35" s="2">
        <f t="shared" si="0"/>
        <v>0.19348510910334021</v>
      </c>
      <c r="F35" s="1">
        <v>0.198649253812268</v>
      </c>
      <c r="G35">
        <f t="shared" si="1"/>
        <v>2.6668390574746854E-4</v>
      </c>
    </row>
    <row r="36" spans="4:7" x14ac:dyDescent="0.2">
      <c r="D36">
        <f t="shared" si="2"/>
        <v>32</v>
      </c>
      <c r="E36" s="2">
        <f t="shared" si="0"/>
        <v>0.18013694482115294</v>
      </c>
      <c r="F36" s="1">
        <v>0.19450308535506269</v>
      </c>
      <c r="G36">
        <f t="shared" si="1"/>
        <v>2.0638599384004471E-3</v>
      </c>
    </row>
    <row r="37" spans="4:7" x14ac:dyDescent="0.2">
      <c r="D37">
        <f t="shared" si="2"/>
        <v>33</v>
      </c>
      <c r="E37" s="2">
        <f t="shared" si="0"/>
        <v>0.16768176020991749</v>
      </c>
      <c r="F37" s="1">
        <v>0.19635942445177001</v>
      </c>
      <c r="G37">
        <f t="shared" si="1"/>
        <v>8.2240842636842719E-3</v>
      </c>
    </row>
    <row r="38" spans="4:7" x14ac:dyDescent="0.2">
      <c r="D38">
        <f t="shared" si="2"/>
        <v>34</v>
      </c>
      <c r="E38" s="2">
        <f t="shared" si="0"/>
        <v>0.15606527489459063</v>
      </c>
      <c r="F38" s="1">
        <v>0.1982384620063323</v>
      </c>
      <c r="G38">
        <f t="shared" si="1"/>
        <v>1.7785777111619737E-2</v>
      </c>
    </row>
    <row r="39" spans="4:7" x14ac:dyDescent="0.2">
      <c r="D39">
        <f t="shared" si="2"/>
        <v>35</v>
      </c>
      <c r="E39" s="2">
        <f t="shared" si="0"/>
        <v>0.14523541632840778</v>
      </c>
      <c r="F39" s="1">
        <v>0.17655613022438971</v>
      </c>
      <c r="G39">
        <f t="shared" si="1"/>
        <v>9.8098711895395537E-3</v>
      </c>
    </row>
    <row r="40" spans="4:7" x14ac:dyDescent="0.2">
      <c r="D40">
        <f t="shared" si="2"/>
        <v>36</v>
      </c>
      <c r="E40" s="2">
        <f t="shared" si="0"/>
        <v>0.13514246703938185</v>
      </c>
      <c r="F40" s="1">
        <v>0.19028827368628531</v>
      </c>
      <c r="G40">
        <f t="shared" si="1"/>
        <v>3.0410599907376625E-2</v>
      </c>
    </row>
    <row r="41" spans="4:7" x14ac:dyDescent="0.2">
      <c r="D41">
        <f t="shared" si="2"/>
        <v>37</v>
      </c>
      <c r="E41" s="2">
        <f t="shared" si="0"/>
        <v>0.12573914574721415</v>
      </c>
      <c r="F41" s="1">
        <v>0.18652018905883408</v>
      </c>
      <c r="G41">
        <f t="shared" si="1"/>
        <v>3.6943352260490184E-2</v>
      </c>
    </row>
    <row r="42" spans="4:7" x14ac:dyDescent="0.2">
      <c r="D42">
        <f t="shared" si="2"/>
        <v>38</v>
      </c>
      <c r="E42" s="2">
        <f t="shared" si="0"/>
        <v>0.11698063690916453</v>
      </c>
      <c r="F42" s="1">
        <v>0.19413325800001058</v>
      </c>
      <c r="G42">
        <f t="shared" si="1"/>
        <v>5.9525269411876622E-2</v>
      </c>
    </row>
    <row r="43" spans="4:7" x14ac:dyDescent="0.2">
      <c r="D43">
        <f t="shared" si="2"/>
        <v>39</v>
      </c>
      <c r="E43" s="2">
        <f t="shared" si="0"/>
        <v>0.10882458058895046</v>
      </c>
      <c r="F43" s="1">
        <v>0.19588220627027919</v>
      </c>
      <c r="G43">
        <f t="shared" si="1"/>
        <v>7.5790301892703471E-2</v>
      </c>
    </row>
    <row r="44" spans="4:7" x14ac:dyDescent="0.2">
      <c r="D44">
        <f t="shared" si="2"/>
        <v>40</v>
      </c>
      <c r="E44" s="2">
        <f t="shared" si="0"/>
        <v>0.10123103229901194</v>
      </c>
      <c r="F44" s="1">
        <v>0.19808312993623547</v>
      </c>
      <c r="G44">
        <f t="shared" si="1"/>
        <v>9.3803288167302809E-2</v>
      </c>
    </row>
    <row r="45" spans="4:7" x14ac:dyDescent="0.2">
      <c r="D45">
        <f t="shared" si="2"/>
        <v>41</v>
      </c>
      <c r="E45" s="2">
        <f t="shared" si="0"/>
        <v>9.4162400593667206E-2</v>
      </c>
      <c r="F45" s="1">
        <v>0.23196577058322165</v>
      </c>
      <c r="G45">
        <f t="shared" si="1"/>
        <v>0.18989768780478036</v>
      </c>
    </row>
    <row r="46" spans="4:7" x14ac:dyDescent="0.2">
      <c r="D46">
        <f t="shared" si="2"/>
        <v>42</v>
      </c>
      <c r="E46" s="2">
        <f t="shared" si="0"/>
        <v>8.7583368639186046E-2</v>
      </c>
      <c r="F46" s="1">
        <v>0.22782352467994979</v>
      </c>
      <c r="G46">
        <f t="shared" si="1"/>
        <v>0.19667301366337761</v>
      </c>
    </row>
    <row r="47" spans="4:7" x14ac:dyDescent="0.2">
      <c r="D47">
        <f t="shared" si="2"/>
        <v>43</v>
      </c>
      <c r="E47" s="2">
        <f t="shared" si="0"/>
        <v>8.1460804709900858E-2</v>
      </c>
      <c r="F47" s="1">
        <v>0.22288617275190134</v>
      </c>
      <c r="G47">
        <f t="shared" si="1"/>
        <v>0.20001134725815289</v>
      </c>
    </row>
    <row r="48" spans="4:7" x14ac:dyDescent="0.2">
      <c r="D48">
        <f t="shared" si="2"/>
        <v>44</v>
      </c>
      <c r="E48" s="2">
        <f t="shared" si="0"/>
        <v>7.5763665514661668E-2</v>
      </c>
      <c r="F48" s="1">
        <v>0.23435825517295417</v>
      </c>
      <c r="G48">
        <f t="shared" si="1"/>
        <v>0.25152243868882174</v>
      </c>
    </row>
    <row r="49" spans="4:7" x14ac:dyDescent="0.2">
      <c r="D49">
        <f t="shared" si="2"/>
        <v>45</v>
      </c>
      <c r="E49" s="2">
        <f t="shared" si="0"/>
        <v>7.0462895407577095E-2</v>
      </c>
      <c r="F49" s="1">
        <v>0.23600866542064947</v>
      </c>
      <c r="G49">
        <f t="shared" si="1"/>
        <v>0.27405401969221044</v>
      </c>
    </row>
    <row r="50" spans="4:7" x14ac:dyDescent="0.2">
      <c r="D50">
        <f t="shared" si="2"/>
        <v>46</v>
      </c>
      <c r="E50" s="2">
        <f t="shared" si="0"/>
        <v>6.5531323848308037E-2</v>
      </c>
      <c r="F50" s="1">
        <v>0.23794316267819449</v>
      </c>
      <c r="G50">
        <f t="shared" si="1"/>
        <v>0.29725842168702743</v>
      </c>
    </row>
    <row r="51" spans="4:7" x14ac:dyDescent="0.2">
      <c r="D51">
        <f t="shared" si="2"/>
        <v>47</v>
      </c>
      <c r="E51" s="2">
        <f t="shared" si="0"/>
        <v>6.0943562922129199E-2</v>
      </c>
      <c r="F51" s="1">
        <v>0.26897922737534896</v>
      </c>
      <c r="G51">
        <f t="shared" si="1"/>
        <v>0.43278837684492638</v>
      </c>
    </row>
    <row r="52" spans="4:7" x14ac:dyDescent="0.2">
      <c r="D52">
        <f t="shared" si="2"/>
        <v>48</v>
      </c>
      <c r="E52" s="2">
        <f t="shared" si="0"/>
        <v>5.6675906284744247E-2</v>
      </c>
      <c r="F52" s="1">
        <v>0.28407500034029148</v>
      </c>
      <c r="G52">
        <f t="shared" si="1"/>
        <v>0.51710347977283611</v>
      </c>
    </row>
    <row r="53" spans="4:7" x14ac:dyDescent="0.2">
      <c r="D53">
        <f t="shared" si="2"/>
        <v>49</v>
      </c>
      <c r="E53" s="2">
        <f t="shared" si="0"/>
        <v>5.2706230541453257E-2</v>
      </c>
      <c r="F53" s="1">
        <v>0.29359706739080244</v>
      </c>
      <c r="G53">
        <f t="shared" si="1"/>
        <v>0.58028395277979761</v>
      </c>
    </row>
    <row r="54" spans="4:7" x14ac:dyDescent="0.2">
      <c r="D54">
        <f t="shared" si="2"/>
        <v>50</v>
      </c>
      <c r="E54" s="2">
        <f t="shared" si="0"/>
        <v>4.9013899788069235E-2</v>
      </c>
      <c r="F54" s="1">
        <v>0.30768972662556099</v>
      </c>
      <c r="G54">
        <f t="shared" si="1"/>
        <v>0.66913183390060016</v>
      </c>
    </row>
    <row r="55" spans="4:7" x14ac:dyDescent="0.2">
      <c r="D55">
        <f t="shared" si="2"/>
        <v>51</v>
      </c>
      <c r="E55" s="2">
        <f t="shared" si="0"/>
        <v>4.5579673818163975E-2</v>
      </c>
      <c r="F55" s="1">
        <v>0.31364501165702119</v>
      </c>
      <c r="G55">
        <f t="shared" si="1"/>
        <v>0.71859025350660666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AF42-E284-604B-A252-7DAE639B8CDE}">
  <dimension ref="A1:G55"/>
  <sheetViews>
    <sheetView workbookViewId="0"/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11</v>
      </c>
      <c r="D2" t="s">
        <v>4</v>
      </c>
    </row>
    <row r="3" spans="1:7" x14ac:dyDescent="0.2">
      <c r="D3">
        <v>1</v>
      </c>
    </row>
    <row r="4" spans="1:7" x14ac:dyDescent="0.2">
      <c r="A4" t="s">
        <v>1</v>
      </c>
      <c r="B4">
        <v>0.61498915382339348</v>
      </c>
      <c r="D4">
        <v>0</v>
      </c>
      <c r="E4" s="2">
        <f>$B$4/($B$6*(EXP((D4-$B$5)/2*$B$6)+EXP(-(D4-$B$5)/2*$B$6)))</f>
        <v>0.98931279422882878</v>
      </c>
      <c r="F4" s="3" t="s">
        <v>10</v>
      </c>
      <c r="G4">
        <f>10*(F4-E4)^2</f>
        <v>2.6629200620257767E-2</v>
      </c>
    </row>
    <row r="5" spans="1:7" x14ac:dyDescent="0.2">
      <c r="A5" t="s">
        <v>2</v>
      </c>
      <c r="B5">
        <v>-6.9402201840745725</v>
      </c>
      <c r="D5">
        <f>D4+D$3</f>
        <v>1</v>
      </c>
      <c r="E5" s="2">
        <f t="shared" ref="E5:E55" si="0">$B$4/($B$6*(EXP((D5-$B$5)/2*$B$6)+EXP(-(D5-$B$5)/2*$B$6)))</f>
        <v>0.9125574950458164</v>
      </c>
      <c r="F5" s="3">
        <v>0.97492472709483369</v>
      </c>
      <c r="G5">
        <f t="shared" ref="G5:G55" si="1">10*(F5-E5)^2</f>
        <v>3.8896716334559683E-2</v>
      </c>
    </row>
    <row r="6" spans="1:7" x14ac:dyDescent="0.2">
      <c r="A6" t="s">
        <v>3</v>
      </c>
      <c r="B6">
        <v>0.23174952587545891</v>
      </c>
      <c r="D6">
        <f t="shared" ref="D6:D55" si="2">D5+D$3</f>
        <v>2</v>
      </c>
      <c r="E6" s="2">
        <f t="shared" si="0"/>
        <v>0.83642105465449612</v>
      </c>
      <c r="F6" s="3">
        <v>0.75153684279310373</v>
      </c>
      <c r="G6">
        <f t="shared" si="1"/>
        <v>7.2053294233297482E-2</v>
      </c>
    </row>
    <row r="7" spans="1:7" x14ac:dyDescent="0.2">
      <c r="D7">
        <f t="shared" si="2"/>
        <v>3</v>
      </c>
      <c r="E7" s="2">
        <f t="shared" si="0"/>
        <v>0.7625498541728295</v>
      </c>
      <c r="F7" s="3">
        <v>0.66404152858711962</v>
      </c>
      <c r="G7">
        <f t="shared" si="1"/>
        <v>9.7038902097002236E-2</v>
      </c>
    </row>
    <row r="8" spans="1:7" x14ac:dyDescent="0.2">
      <c r="B8" t="s">
        <v>5</v>
      </c>
      <c r="D8">
        <f t="shared" si="2"/>
        <v>4</v>
      </c>
      <c r="E8" s="2">
        <f t="shared" si="0"/>
        <v>0.6921196296954073</v>
      </c>
      <c r="F8" s="3">
        <v>0.62961537845146032</v>
      </c>
      <c r="G8">
        <f t="shared" si="1"/>
        <v>3.906781423566448E-2</v>
      </c>
    </row>
    <row r="9" spans="1:7" x14ac:dyDescent="0.2">
      <c r="B9">
        <f>SUM(G4:G34)</f>
        <v>0.71539894338189058</v>
      </c>
      <c r="D9">
        <f t="shared" si="2"/>
        <v>5</v>
      </c>
      <c r="E9" s="2">
        <f t="shared" si="0"/>
        <v>0.62589750793610766</v>
      </c>
      <c r="F9" s="3">
        <v>0.59517884428918388</v>
      </c>
      <c r="G9">
        <f t="shared" si="1"/>
        <v>9.4363629625283611E-3</v>
      </c>
    </row>
    <row r="10" spans="1:7" x14ac:dyDescent="0.2">
      <c r="D10">
        <f t="shared" si="2"/>
        <v>6</v>
      </c>
      <c r="E10" s="2">
        <f t="shared" si="0"/>
        <v>0.56431791882135429</v>
      </c>
      <c r="F10" s="3">
        <v>0.56223200139815444</v>
      </c>
      <c r="G10">
        <f t="shared" si="1"/>
        <v>4.3510514964087305E-5</v>
      </c>
    </row>
    <row r="11" spans="1:7" x14ac:dyDescent="0.2">
      <c r="D11">
        <f t="shared" si="2"/>
        <v>7</v>
      </c>
      <c r="E11" s="2">
        <f t="shared" si="0"/>
        <v>0.50755862728586509</v>
      </c>
      <c r="F11" s="3">
        <v>0.53058778764353487</v>
      </c>
      <c r="G11">
        <f t="shared" si="1"/>
        <v>5.3034222677926911E-3</v>
      </c>
    </row>
    <row r="12" spans="1:7" x14ac:dyDescent="0.2">
      <c r="D12">
        <f t="shared" si="2"/>
        <v>8</v>
      </c>
      <c r="E12" s="2">
        <f t="shared" si="0"/>
        <v>0.45560902184372593</v>
      </c>
      <c r="F12" s="3">
        <v>0.4995539799861749</v>
      </c>
      <c r="G12">
        <f t="shared" si="1"/>
        <v>1.9311593461415925E-2</v>
      </c>
    </row>
    <row r="13" spans="1:7" x14ac:dyDescent="0.2">
      <c r="D13">
        <f t="shared" si="2"/>
        <v>9</v>
      </c>
      <c r="E13" s="2">
        <f t="shared" si="0"/>
        <v>0.40832721256053645</v>
      </c>
      <c r="F13" s="3">
        <v>0.46566130719075782</v>
      </c>
      <c r="G13">
        <f t="shared" si="1"/>
        <v>3.2871984070671795E-2</v>
      </c>
    </row>
    <row r="14" spans="1:7" x14ac:dyDescent="0.2">
      <c r="D14">
        <f t="shared" si="2"/>
        <v>10</v>
      </c>
      <c r="E14" s="2">
        <f t="shared" si="0"/>
        <v>0.36548533298078723</v>
      </c>
      <c r="F14" s="1">
        <v>0.43267131463448477</v>
      </c>
      <c r="G14">
        <f t="shared" si="1"/>
        <v>4.5139561307709831E-2</v>
      </c>
    </row>
    <row r="15" spans="1:7" x14ac:dyDescent="0.2">
      <c r="D15">
        <f t="shared" si="2"/>
        <v>11</v>
      </c>
      <c r="E15" s="2">
        <f t="shared" si="0"/>
        <v>0.32680400898841283</v>
      </c>
      <c r="F15" s="1">
        <v>0.39542252599000688</v>
      </c>
      <c r="G15">
        <f t="shared" si="1"/>
        <v>4.708500875498052E-2</v>
      </c>
    </row>
    <row r="16" spans="1:7" x14ac:dyDescent="0.2">
      <c r="D16">
        <f t="shared" si="2"/>
        <v>12</v>
      </c>
      <c r="E16" s="2">
        <f t="shared" si="0"/>
        <v>0.29197764699573991</v>
      </c>
      <c r="F16" s="1">
        <v>0.35701106920418857</v>
      </c>
      <c r="G16">
        <f t="shared" si="1"/>
        <v>4.2293460041423425E-2</v>
      </c>
    </row>
    <row r="17" spans="4:7" x14ac:dyDescent="0.2">
      <c r="D17">
        <f t="shared" si="2"/>
        <v>13</v>
      </c>
      <c r="E17" s="2">
        <f t="shared" si="0"/>
        <v>0.26069234946719366</v>
      </c>
      <c r="F17" s="1">
        <v>0.3123388443788826</v>
      </c>
      <c r="G17">
        <f t="shared" si="1"/>
        <v>2.6673604366631107E-2</v>
      </c>
    </row>
    <row r="18" spans="4:7" x14ac:dyDescent="0.2">
      <c r="D18">
        <f t="shared" si="2"/>
        <v>14</v>
      </c>
      <c r="E18" s="2">
        <f t="shared" si="0"/>
        <v>0.23263813866903657</v>
      </c>
      <c r="F18" s="1">
        <v>0.26825238393941198</v>
      </c>
      <c r="G18">
        <f t="shared" si="1"/>
        <v>1.268374466178457E-2</v>
      </c>
    </row>
    <row r="19" spans="4:7" x14ac:dyDescent="0.2">
      <c r="D19">
        <f t="shared" si="2"/>
        <v>15</v>
      </c>
      <c r="E19" s="2">
        <f t="shared" si="0"/>
        <v>0.20751692096267277</v>
      </c>
      <c r="F19" s="1">
        <v>0.22448124806054615</v>
      </c>
      <c r="G19">
        <f t="shared" si="1"/>
        <v>2.8778839388364096E-3</v>
      </c>
    </row>
    <row r="20" spans="4:7" x14ac:dyDescent="0.2">
      <c r="D20">
        <f t="shared" si="2"/>
        <v>16</v>
      </c>
      <c r="E20" s="2">
        <f t="shared" si="0"/>
        <v>0.18504734683186561</v>
      </c>
      <c r="F20" s="1">
        <v>0.18344728259851178</v>
      </c>
      <c r="G20">
        <f t="shared" si="1"/>
        <v>2.5602055508581499E-5</v>
      </c>
    </row>
    <row r="21" spans="4:7" x14ac:dyDescent="0.2">
      <c r="D21">
        <f t="shared" si="2"/>
        <v>17</v>
      </c>
      <c r="E21" s="2">
        <f t="shared" si="0"/>
        <v>0.1649674633870829</v>
      </c>
      <c r="F21" s="1">
        <v>0.14660575095952474</v>
      </c>
      <c r="G21">
        <f t="shared" si="1"/>
        <v>3.371524832723437E-3</v>
      </c>
    </row>
    <row r="22" spans="4:7" x14ac:dyDescent="0.2">
      <c r="D22">
        <f t="shared" si="2"/>
        <v>18</v>
      </c>
      <c r="E22" s="2">
        <f t="shared" si="0"/>
        <v>0.14703583591745634</v>
      </c>
      <c r="F22" s="1">
        <v>0.11661699690281684</v>
      </c>
      <c r="G22">
        <f t="shared" si="1"/>
        <v>9.253057669985543E-3</v>
      </c>
    </row>
    <row r="23" spans="4:7" x14ac:dyDescent="0.2">
      <c r="D23">
        <f t="shared" si="2"/>
        <v>19</v>
      </c>
      <c r="E23" s="2">
        <f t="shared" si="0"/>
        <v>0.13103163754382008</v>
      </c>
      <c r="F23" s="1">
        <v>9.1962211057412813E-2</v>
      </c>
      <c r="G23">
        <f t="shared" si="1"/>
        <v>1.5264200859767816E-2</v>
      </c>
    </row>
    <row r="24" spans="4:7" x14ac:dyDescent="0.2">
      <c r="D24">
        <f t="shared" si="2"/>
        <v>20</v>
      </c>
      <c r="E24" s="2">
        <f t="shared" si="0"/>
        <v>0.11675406810787027</v>
      </c>
      <c r="F24" s="1">
        <v>7.2493499885274496E-2</v>
      </c>
      <c r="G24">
        <f t="shared" si="1"/>
        <v>1.9589978993870549E-2</v>
      </c>
    </row>
    <row r="25" spans="4:7" x14ac:dyDescent="0.2">
      <c r="D25">
        <f t="shared" si="2"/>
        <v>21</v>
      </c>
      <c r="E25" s="2">
        <f t="shared" si="0"/>
        <v>0.10402135910060702</v>
      </c>
      <c r="F25" s="1">
        <v>5.6580706938320478E-2</v>
      </c>
      <c r="G25">
        <f t="shared" si="1"/>
        <v>2.2506154775830626E-2</v>
      </c>
    </row>
    <row r="26" spans="4:7" x14ac:dyDescent="0.2">
      <c r="D26">
        <f t="shared" si="2"/>
        <v>22</v>
      </c>
      <c r="E26" s="2">
        <f t="shared" si="0"/>
        <v>9.2669544093747211E-2</v>
      </c>
      <c r="F26" s="1">
        <v>4.4361696198177904E-2</v>
      </c>
      <c r="G26">
        <f t="shared" si="1"/>
        <v>2.3336481683014599E-2</v>
      </c>
    </row>
    <row r="27" spans="4:7" x14ac:dyDescent="0.2">
      <c r="D27">
        <f t="shared" si="2"/>
        <v>23</v>
      </c>
      <c r="E27" s="2">
        <f t="shared" si="0"/>
        <v>8.2551117732107132E-2</v>
      </c>
      <c r="F27" s="1">
        <v>3.5765085517603247E-2</v>
      </c>
      <c r="G27">
        <f t="shared" si="1"/>
        <v>2.1889328103765954E-2</v>
      </c>
    </row>
    <row r="28" spans="4:7" x14ac:dyDescent="0.2">
      <c r="D28">
        <f t="shared" si="2"/>
        <v>24</v>
      </c>
      <c r="E28" s="2">
        <f t="shared" si="0"/>
        <v>7.3533665771255918E-2</v>
      </c>
      <c r="F28" s="1">
        <v>2.9331241753381594E-2</v>
      </c>
      <c r="G28">
        <f t="shared" si="1"/>
        <v>1.9538542890559528E-2</v>
      </c>
    </row>
    <row r="29" spans="4:7" x14ac:dyDescent="0.2">
      <c r="D29">
        <f t="shared" si="2"/>
        <v>25</v>
      </c>
      <c r="E29" s="2">
        <f t="shared" si="0"/>
        <v>6.5498519823528653E-2</v>
      </c>
      <c r="F29" s="1">
        <v>2.4551308028214053E-2</v>
      </c>
      <c r="G29">
        <f t="shared" si="1"/>
        <v>1.6766741538103515E-2</v>
      </c>
    </row>
    <row r="30" spans="4:7" x14ac:dyDescent="0.2">
      <c r="D30">
        <f t="shared" si="2"/>
        <v>26</v>
      </c>
      <c r="E30" s="2">
        <f t="shared" si="0"/>
        <v>5.8339470253367789E-2</v>
      </c>
      <c r="F30" s="1">
        <v>2.0849409160320031E-2</v>
      </c>
      <c r="G30">
        <f t="shared" si="1"/>
        <v>1.4055046807604532E-2</v>
      </c>
    </row>
    <row r="31" spans="4:7" x14ac:dyDescent="0.2">
      <c r="D31">
        <f t="shared" si="2"/>
        <v>27</v>
      </c>
      <c r="E31" s="2">
        <f t="shared" si="0"/>
        <v>5.1961556659440244E-2</v>
      </c>
      <c r="F31" s="1">
        <v>1.8516328445393308E-2</v>
      </c>
      <c r="G31">
        <f t="shared" si="1"/>
        <v>1.1185832902896814E-2</v>
      </c>
    </row>
    <row r="32" spans="4:7" x14ac:dyDescent="0.2">
      <c r="D32">
        <f t="shared" si="2"/>
        <v>28</v>
      </c>
      <c r="E32" s="2">
        <f t="shared" si="0"/>
        <v>4.627994582979638E-2</v>
      </c>
      <c r="F32" s="1">
        <v>1.6448297684443017E-2</v>
      </c>
      <c r="G32">
        <f t="shared" si="1"/>
        <v>8.8992723106816485E-3</v>
      </c>
    </row>
    <row r="33" spans="4:7" x14ac:dyDescent="0.2">
      <c r="D33">
        <f t="shared" si="2"/>
        <v>29</v>
      </c>
      <c r="E33" s="2">
        <f t="shared" si="0"/>
        <v>4.1218900664093082E-2</v>
      </c>
      <c r="F33" s="1">
        <v>1.4832404434953346E-2</v>
      </c>
      <c r="G33">
        <f t="shared" si="1"/>
        <v>6.9624718325040566E-3</v>
      </c>
    </row>
    <row r="34" spans="4:7" x14ac:dyDescent="0.2">
      <c r="D34">
        <f t="shared" si="2"/>
        <v>30</v>
      </c>
      <c r="E34" s="2">
        <f t="shared" si="0"/>
        <v>3.6710839386155519E-2</v>
      </c>
      <c r="F34" s="1">
        <v>1.3583707580518509E-2</v>
      </c>
      <c r="G34">
        <f t="shared" si="1"/>
        <v>5.3486422555530698E-3</v>
      </c>
    </row>
    <row r="35" spans="4:7" x14ac:dyDescent="0.2">
      <c r="D35">
        <f t="shared" si="2"/>
        <v>31</v>
      </c>
      <c r="E35" s="2">
        <f t="shared" si="0"/>
        <v>3.2695481747205858E-2</v>
      </c>
      <c r="F35" s="1">
        <v>1.2629903419586714E-2</v>
      </c>
      <c r="G35">
        <f t="shared" si="1"/>
        <v>4.0262743362181911E-3</v>
      </c>
    </row>
    <row r="36" spans="4:7" x14ac:dyDescent="0.2">
      <c r="D36">
        <f t="shared" si="2"/>
        <v>32</v>
      </c>
      <c r="E36" s="2">
        <f t="shared" si="0"/>
        <v>2.9119077364277633E-2</v>
      </c>
      <c r="F36" s="1">
        <v>1.191284679802098E-2</v>
      </c>
      <c r="G36">
        <f t="shared" si="1"/>
        <v>2.9605437029918474E-3</v>
      </c>
    </row>
    <row r="37" spans="4:7" x14ac:dyDescent="0.2">
      <c r="D37">
        <f t="shared" si="2"/>
        <v>33</v>
      </c>
      <c r="E37" s="2">
        <f t="shared" si="0"/>
        <v>2.5933710508986248E-2</v>
      </c>
      <c r="F37" s="1">
        <v>1.1168183585346575E-2</v>
      </c>
      <c r="G37">
        <f t="shared" si="1"/>
        <v>2.1802078533272803E-3</v>
      </c>
    </row>
    <row r="38" spans="4:7" x14ac:dyDescent="0.2">
      <c r="D38">
        <f t="shared" si="2"/>
        <v>34</v>
      </c>
      <c r="E38" s="2">
        <f t="shared" si="0"/>
        <v>2.3096675319026053E-2</v>
      </c>
      <c r="F38" s="1">
        <v>1.0530287334008069E-2</v>
      </c>
      <c r="G38">
        <f t="shared" si="1"/>
        <v>1.5791410699000433E-3</v>
      </c>
    </row>
    <row r="39" spans="4:7" x14ac:dyDescent="0.2">
      <c r="D39">
        <f t="shared" si="2"/>
        <v>35</v>
      </c>
      <c r="E39" s="2">
        <f t="shared" si="0"/>
        <v>2.056991538068682E-2</v>
      </c>
      <c r="F39" s="1">
        <v>9.8977812259290771E-3</v>
      </c>
      <c r="G39">
        <f t="shared" si="1"/>
        <v>1.1389444741714677E-3</v>
      </c>
    </row>
    <row r="40" spans="4:7" x14ac:dyDescent="0.2">
      <c r="D40">
        <f t="shared" si="2"/>
        <v>36</v>
      </c>
      <c r="E40" s="2">
        <f t="shared" si="0"/>
        <v>1.8319521808792389E-2</v>
      </c>
      <c r="F40" s="1">
        <v>9.379179796649097E-3</v>
      </c>
      <c r="G40">
        <f t="shared" si="1"/>
        <v>7.9929715294094368E-4</v>
      </c>
    </row>
    <row r="41" spans="4:7" x14ac:dyDescent="0.2">
      <c r="D41">
        <f t="shared" si="2"/>
        <v>37</v>
      </c>
      <c r="E41" s="2">
        <f t="shared" si="0"/>
        <v>1.6315284250559794E-2</v>
      </c>
      <c r="F41" s="1">
        <v>9.002561928550451E-3</v>
      </c>
      <c r="G41">
        <f t="shared" si="1"/>
        <v>5.347590775881373E-4</v>
      </c>
    </row>
    <row r="42" spans="4:7" x14ac:dyDescent="0.2">
      <c r="D42">
        <f t="shared" si="2"/>
        <v>38</v>
      </c>
      <c r="E42" s="2">
        <f t="shared" si="0"/>
        <v>1.4530289607355383E-2</v>
      </c>
      <c r="F42" s="1">
        <v>8.6372163236433496E-3</v>
      </c>
      <c r="G42">
        <f t="shared" si="1"/>
        <v>3.4728312727200531E-4</v>
      </c>
    </row>
    <row r="43" spans="4:7" x14ac:dyDescent="0.2">
      <c r="D43">
        <f t="shared" si="2"/>
        <v>39</v>
      </c>
      <c r="E43" s="2">
        <f t="shared" si="0"/>
        <v>1.2940563666549661E-2</v>
      </c>
      <c r="F43" s="1">
        <v>8.3939144553717062E-3</v>
      </c>
      <c r="G43">
        <f t="shared" si="1"/>
        <v>2.0672019049505121E-4</v>
      </c>
    </row>
    <row r="44" spans="4:7" x14ac:dyDescent="0.2">
      <c r="D44">
        <f t="shared" si="2"/>
        <v>40</v>
      </c>
      <c r="E44" s="2">
        <f t="shared" si="0"/>
        <v>1.1524751240534224E-2</v>
      </c>
      <c r="F44" s="1">
        <v>8.1596986912562033E-3</v>
      </c>
      <c r="G44">
        <f t="shared" si="1"/>
        <v>1.1323578659402507E-4</v>
      </c>
    </row>
    <row r="45" spans="4:7" x14ac:dyDescent="0.2">
      <c r="D45">
        <f t="shared" si="2"/>
        <v>41</v>
      </c>
      <c r="E45" s="2">
        <f t="shared" si="0"/>
        <v>1.0263830806045966E-2</v>
      </c>
      <c r="F45" s="1">
        <v>7.9627828857356912E-3</v>
      </c>
      <c r="G45">
        <f t="shared" si="1"/>
        <v>5.29482153156424E-5</v>
      </c>
    </row>
    <row r="46" spans="4:7" x14ac:dyDescent="0.2">
      <c r="D46">
        <f t="shared" si="2"/>
        <v>42</v>
      </c>
      <c r="E46" s="2">
        <f t="shared" si="0"/>
        <v>9.1408600148040822E-3</v>
      </c>
      <c r="F46" s="1">
        <v>7.7335043123720887E-3</v>
      </c>
      <c r="G46">
        <f t="shared" si="1"/>
        <v>1.9806500731678499E-5</v>
      </c>
    </row>
    <row r="47" spans="4:7" x14ac:dyDescent="0.2">
      <c r="D47">
        <f t="shared" si="2"/>
        <v>43</v>
      </c>
      <c r="E47" s="2">
        <f t="shared" si="0"/>
        <v>8.1407488007408137E-3</v>
      </c>
      <c r="F47" s="1">
        <v>7.6167971003687496E-3</v>
      </c>
      <c r="G47">
        <f t="shared" si="1"/>
        <v>2.7452538432277724E-6</v>
      </c>
    </row>
    <row r="48" spans="4:7" x14ac:dyDescent="0.2">
      <c r="D48">
        <f t="shared" si="2"/>
        <v>44</v>
      </c>
      <c r="E48" s="2">
        <f t="shared" si="0"/>
        <v>7.250057137170818E-3</v>
      </c>
      <c r="F48" s="1">
        <v>7.4843310638405902E-3</v>
      </c>
      <c r="G48">
        <f t="shared" si="1"/>
        <v>5.4884272717273842E-7</v>
      </c>
    </row>
    <row r="49" spans="4:7" x14ac:dyDescent="0.2">
      <c r="D49">
        <f t="shared" si="2"/>
        <v>45</v>
      </c>
      <c r="E49" s="2">
        <f t="shared" si="0"/>
        <v>6.4568147982854074E-3</v>
      </c>
      <c r="F49" s="1">
        <v>7.3737014915601683E-3</v>
      </c>
      <c r="G49">
        <f t="shared" si="1"/>
        <v>8.4068120830432559E-6</v>
      </c>
    </row>
    <row r="50" spans="4:7" x14ac:dyDescent="0.2">
      <c r="D50">
        <f t="shared" si="2"/>
        <v>46</v>
      </c>
      <c r="E50" s="2">
        <f t="shared" si="0"/>
        <v>5.7503607537297621E-3</v>
      </c>
      <c r="F50" s="1">
        <v>7.3333045650527283E-3</v>
      </c>
      <c r="G50">
        <f t="shared" si="1"/>
        <v>2.505711109805678E-5</v>
      </c>
    </row>
    <row r="51" spans="4:7" x14ac:dyDescent="0.2">
      <c r="D51">
        <f t="shared" si="2"/>
        <v>47</v>
      </c>
      <c r="E51" s="2">
        <f t="shared" si="0"/>
        <v>5.1212000738035772E-3</v>
      </c>
      <c r="F51" s="1">
        <v>7.2268162334565914E-3</v>
      </c>
      <c r="G51">
        <f t="shared" si="1"/>
        <v>4.4336194117919076E-5</v>
      </c>
    </row>
    <row r="52" spans="4:7" x14ac:dyDescent="0.2">
      <c r="D52">
        <f t="shared" si="2"/>
        <v>48</v>
      </c>
      <c r="E52" s="2">
        <f t="shared" si="0"/>
        <v>4.5608764475175406E-3</v>
      </c>
      <c r="F52" s="1">
        <v>7.1315761671221578E-3</v>
      </c>
      <c r="G52">
        <f t="shared" si="1"/>
        <v>6.6084970483752578E-5</v>
      </c>
    </row>
    <row r="53" spans="4:7" x14ac:dyDescent="0.2">
      <c r="D53">
        <f t="shared" si="2"/>
        <v>49</v>
      </c>
      <c r="E53" s="2">
        <f t="shared" si="0"/>
        <v>4.0618586180570663E-3</v>
      </c>
      <c r="F53" s="1">
        <v>7.0799644334509099E-3</v>
      </c>
      <c r="G53">
        <f t="shared" si="1"/>
        <v>9.1089627129141377E-5</v>
      </c>
    </row>
    <row r="54" spans="4:7" x14ac:dyDescent="0.2">
      <c r="D54">
        <f t="shared" si="2"/>
        <v>50</v>
      </c>
      <c r="E54" s="2">
        <f t="shared" si="0"/>
        <v>3.6174392219498496E-3</v>
      </c>
      <c r="F54" s="1">
        <v>6.9381438644614763E-3</v>
      </c>
      <c r="G54">
        <f t="shared" si="1"/>
        <v>1.102707932279827E-4</v>
      </c>
    </row>
    <row r="55" spans="4:7" x14ac:dyDescent="0.2">
      <c r="D55">
        <f t="shared" si="2"/>
        <v>51</v>
      </c>
      <c r="E55" s="2">
        <f t="shared" si="0"/>
        <v>3.2216446811972189E-3</v>
      </c>
      <c r="F55" s="1">
        <v>6.870141626143314E-3</v>
      </c>
      <c r="G55">
        <f t="shared" si="1"/>
        <v>1.3311529957280989E-4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Alabama</vt:lpstr>
      <vt:lpstr>Florida</vt:lpstr>
      <vt:lpstr>California</vt:lpstr>
      <vt:lpstr>New York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 David</dc:creator>
  <cp:lastModifiedBy>Greene, David</cp:lastModifiedBy>
  <dcterms:created xsi:type="dcterms:W3CDTF">2024-06-07T20:08:10Z</dcterms:created>
  <dcterms:modified xsi:type="dcterms:W3CDTF">2024-06-10T15:54:06Z</dcterms:modified>
</cp:coreProperties>
</file>