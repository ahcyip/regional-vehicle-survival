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RNLMA3T\"/>
    </mc:Choice>
  </mc:AlternateContent>
  <xr:revisionPtr revIDLastSave="0" documentId="8_{8F7EBAF6-FDCB-4886-B73A-D8960A9819BE}" xr6:coauthVersionLast="47" xr6:coauthVersionMax="47" xr10:uidLastSave="{00000000-0000-0000-0000-000000000000}"/>
  <bookViews>
    <workbookView xWindow="-120" yWindow="-120" windowWidth="29040" windowHeight="15720" xr2:uid="{8719B5FB-C99F-4D13-B418-C9C7CD8D2A71}"/>
  </bookViews>
  <sheets>
    <sheet name="Ca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" l="1"/>
  <c r="M30" i="1" s="1"/>
  <c r="M5" i="1"/>
  <c r="L6" i="1"/>
  <c r="L5" i="1"/>
  <c r="K6" i="1"/>
  <c r="K5" i="1"/>
  <c r="J6" i="1"/>
  <c r="J5" i="1"/>
  <c r="J13" i="1" s="1"/>
  <c r="M15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11" i="1"/>
  <c r="J12" i="1"/>
  <c r="J28" i="1"/>
  <c r="M14" i="1" l="1"/>
  <c r="M31" i="1"/>
  <c r="M16" i="1"/>
  <c r="M29" i="1"/>
  <c r="M13" i="1"/>
  <c r="M28" i="1"/>
  <c r="M12" i="1"/>
  <c r="M27" i="1"/>
  <c r="M26" i="1"/>
  <c r="M25" i="1"/>
  <c r="M24" i="1"/>
  <c r="M23" i="1"/>
  <c r="M22" i="1"/>
  <c r="M21" i="1"/>
  <c r="M20" i="1"/>
  <c r="M19" i="1"/>
  <c r="M18" i="1"/>
  <c r="M11" i="1"/>
  <c r="M17" i="1"/>
  <c r="M32" i="1"/>
  <c r="J15" i="1"/>
  <c r="J27" i="1"/>
  <c r="J26" i="1"/>
  <c r="J25" i="1"/>
  <c r="J24" i="1"/>
  <c r="J23" i="1"/>
  <c r="J22" i="1"/>
  <c r="J21" i="1"/>
  <c r="J20" i="1"/>
  <c r="J19" i="1"/>
  <c r="J18" i="1"/>
  <c r="J11" i="1"/>
  <c r="J17" i="1"/>
  <c r="J32" i="1"/>
  <c r="J16" i="1"/>
  <c r="J31" i="1"/>
  <c r="J30" i="1"/>
  <c r="J14" i="1"/>
  <c r="J29" i="1"/>
</calcChain>
</file>

<file path=xl/sharedStrings.xml><?xml version="1.0" encoding="utf-8"?>
<sst xmlns="http://schemas.openxmlformats.org/spreadsheetml/2006/main" count="121" uniqueCount="68">
  <si>
    <t>dEmplmt</t>
  </si>
  <si>
    <t>|</t>
  </si>
  <si>
    <t>dPopulation</t>
  </si>
  <si>
    <t>lAge</t>
  </si>
  <si>
    <t>TN2015</t>
  </si>
  <si>
    <t>Age</t>
  </si>
  <si>
    <t>state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</si>
  <si>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</si>
  <si>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</si>
  <si>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</si>
  <si>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</si>
  <si>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</si>
  <si>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</si>
  <si>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</si>
  <si>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</si>
  <si>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</si>
  <si>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</si>
  <si>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</si>
  <si>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</si>
  <si>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</si>
  <si>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</si>
  <si>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</si>
  <si>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</si>
  <si>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</si>
  <si>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</si>
  <si>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</si>
  <si>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</si>
  <si>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</si>
  <si>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</si>
  <si>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</si>
  <si>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</si>
  <si>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</si>
  <si>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</si>
  <si>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</si>
  <si>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Ohio</t>
  </si>
  <si>
    <t>Oklahoma</t>
  </si>
  <si>
    <t>Oregon</t>
  </si>
  <si>
    <t>Pennsylvania</t>
  </si>
  <si>
    <t>Tennessee</t>
  </si>
  <si>
    <t>Texas</t>
  </si>
  <si>
    <t>Utah</t>
  </si>
  <si>
    <t>Vermont</t>
  </si>
  <si>
    <t>Virginia</t>
  </si>
  <si>
    <t>Washington</t>
  </si>
  <si>
    <t>Wisconsin</t>
  </si>
  <si>
    <t>Wyoming</t>
  </si>
  <si>
    <t>yearpair</t>
  </si>
  <si>
    <t>state#c.lAge</t>
  </si>
  <si>
    <t>NH</t>
  </si>
  <si>
    <t>NJ</t>
  </si>
  <si>
    <t>NM</t>
  </si>
  <si>
    <t>NY</t>
  </si>
  <si>
    <t>NC</t>
  </si>
  <si>
    <t>ND</t>
  </si>
  <si>
    <t>SC</t>
  </si>
  <si>
    <t>WV</t>
  </si>
  <si>
    <t>SD</t>
  </si>
  <si>
    <t>RI</t>
  </si>
  <si>
    <t>Variable</t>
  </si>
  <si>
    <t>Coefficient</t>
  </si>
  <si>
    <t>Std. Err.</t>
  </si>
  <si>
    <t>t-value</t>
  </si>
  <si>
    <t>p-value</t>
  </si>
  <si>
    <t>95% C.I.</t>
  </si>
  <si>
    <t>CA</t>
  </si>
  <si>
    <t>KY</t>
  </si>
  <si>
    <t>MN</t>
  </si>
  <si>
    <t>State-Specific Annual Survival Rate Functions: CARS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</si>
</sst>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67" fontId="0" fillId="0" borderId="0" xfId="0" applyNumberFormat="1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</a:t>
            </a:r>
            <a:r>
              <a:rPr lang="en-US" baseline="0"/>
              <a:t> Annual Survival Rates by Age: Cars 2021-22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Cars!$J$10</c:f>
              <c:strCache>
                <c:ptCount val="1"/>
                <c:pt idx="0">
                  <c:v>CA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Cars!$I$11:$I$32</c:f>
              <c:numCache>
                <c:formatCode>General</c:formatCode>
                <c:ptCount val="22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</c:numCache>
            </c:numRef>
          </c:xVal>
          <c:yVal>
            <c:numRef>
              <c:f>Cars!$J$11:$J$32</c:f>
              <c:numCache>
                <c:formatCode>General</c:formatCode>
                <c:ptCount val="22"/>
                <c:pt idx="0">
                  <c:v>0.93719707204673175</c:v>
                </c:pt>
                <c:pt idx="1">
                  <c:v>0.95023871681239402</c:v>
                </c:pt>
                <c:pt idx="2">
                  <c:v>0.96275375459673973</c:v>
                </c:pt>
                <c:pt idx="3">
                  <c:v>0.97330191983649539</c:v>
                </c:pt>
                <c:pt idx="4">
                  <c:v>0.97823288660235308</c:v>
                </c:pt>
                <c:pt idx="5">
                  <c:v>0.98188336460215764</c:v>
                </c:pt>
                <c:pt idx="6">
                  <c:v>0.98249612286059707</c:v>
                </c:pt>
                <c:pt idx="7">
                  <c:v>0.98515740238650418</c:v>
                </c:pt>
                <c:pt idx="8">
                  <c:v>0.97811548476837706</c:v>
                </c:pt>
                <c:pt idx="9">
                  <c:v>0.96966856762625941</c:v>
                </c:pt>
                <c:pt idx="10">
                  <c:v>0.95960623371953313</c:v>
                </c:pt>
                <c:pt idx="11">
                  <c:v>0.95066353439211659</c:v>
                </c:pt>
                <c:pt idx="12">
                  <c:v>0.93807560541060475</c:v>
                </c:pt>
                <c:pt idx="13">
                  <c:v>0.92824501239192136</c:v>
                </c:pt>
                <c:pt idx="14">
                  <c:v>0.91909887342767815</c:v>
                </c:pt>
                <c:pt idx="15">
                  <c:v>0.9131617706503603</c:v>
                </c:pt>
                <c:pt idx="16">
                  <c:v>0.90792904425400378</c:v>
                </c:pt>
                <c:pt idx="17">
                  <c:v>0.90516905017626703</c:v>
                </c:pt>
                <c:pt idx="18">
                  <c:v>0.90245773741621826</c:v>
                </c:pt>
                <c:pt idx="19">
                  <c:v>0.90386013255814157</c:v>
                </c:pt>
                <c:pt idx="20">
                  <c:v>0.90966782437959404</c:v>
                </c:pt>
                <c:pt idx="21">
                  <c:v>0.91794521541602259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B1-4C39-BC03-B460CD5B344A}"/>
            </c:ext>
          </c:extLst>
        </c:ser>
        <c:ser>
          <c:idx val="1"/>
          <c:order val="1"/>
          <c:tx>
            <c:strRef>
              <c:f>Cars!$L$10</c:f>
              <c:strCache>
                <c:ptCount val="1"/>
                <c:pt idx="0">
                  <c:v>KY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Cars!$I$11:$I$32</c:f>
              <c:numCache>
                <c:formatCode>General</c:formatCode>
                <c:ptCount val="22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</c:numCache>
            </c:numRef>
          </c:xVal>
          <c:yVal>
            <c:numRef>
              <c:f>Cars!$L$11:$L$32</c:f>
              <c:numCache>
                <c:formatCode>General</c:formatCode>
                <c:ptCount val="22"/>
                <c:pt idx="0">
                  <c:v>1.016374382613324</c:v>
                </c:pt>
                <c:pt idx="1">
                  <c:v>1.0054237165232021</c:v>
                </c:pt>
                <c:pt idx="2">
                  <c:v>0.99932887221455935</c:v>
                </c:pt>
                <c:pt idx="3">
                  <c:v>0.99467165663572288</c:v>
                </c:pt>
                <c:pt idx="4">
                  <c:v>0.98674665709987119</c:v>
                </c:pt>
                <c:pt idx="5">
                  <c:v>0.97926079054560089</c:v>
                </c:pt>
                <c:pt idx="6">
                  <c:v>0.97005059674824434</c:v>
                </c:pt>
                <c:pt idx="7">
                  <c:v>0.9639249462369589</c:v>
                </c:pt>
                <c:pt idx="8">
                  <c:v>0.94893428352638498</c:v>
                </c:pt>
                <c:pt idx="9">
                  <c:v>0.93323073065812223</c:v>
                </c:pt>
                <c:pt idx="10">
                  <c:v>0.91649293898694306</c:v>
                </c:pt>
                <c:pt idx="11">
                  <c:v>0.90136973112226992</c:v>
                </c:pt>
                <c:pt idx="12">
                  <c:v>0.88302788634947926</c:v>
                </c:pt>
                <c:pt idx="13">
                  <c:v>0.86781486456799994</c:v>
                </c:pt>
                <c:pt idx="14">
                  <c:v>0.85361271095627433</c:v>
                </c:pt>
                <c:pt idx="15">
                  <c:v>0.8429086707706428</c:v>
                </c:pt>
                <c:pt idx="16">
                  <c:v>0.83316680840773294</c:v>
                </c:pt>
                <c:pt idx="17">
                  <c:v>0.82612902025935719</c:v>
                </c:pt>
                <c:pt idx="18">
                  <c:v>0.81934867123479116</c:v>
                </c:pt>
                <c:pt idx="19">
                  <c:v>0.8168713575487847</c:v>
                </c:pt>
                <c:pt idx="20">
                  <c:v>0.81897183015912101</c:v>
                </c:pt>
                <c:pt idx="21">
                  <c:v>0.82369980468052073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1B1-4C39-BC03-B460CD5B344A}"/>
            </c:ext>
          </c:extLst>
        </c:ser>
        <c:ser>
          <c:idx val="2"/>
          <c:order val="2"/>
          <c:tx>
            <c:strRef>
              <c:f>Cars!$K$10</c:f>
              <c:strCache>
                <c:ptCount val="1"/>
                <c:pt idx="0">
                  <c:v>NY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Cars!$I$11:$I$32</c:f>
              <c:numCache>
                <c:formatCode>General</c:formatCode>
                <c:ptCount val="22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</c:numCache>
            </c:numRef>
          </c:xVal>
          <c:yVal>
            <c:numRef>
              <c:f>Cars!$K$11:$K$32</c:f>
              <c:numCache>
                <c:formatCode>General</c:formatCode>
                <c:ptCount val="22"/>
                <c:pt idx="0">
                  <c:v>0.89211280465678477</c:v>
                </c:pt>
                <c:pt idx="1">
                  <c:v>0.89751341220067704</c:v>
                </c:pt>
                <c:pt idx="2">
                  <c:v>0.9041016010616314</c:v>
                </c:pt>
                <c:pt idx="3">
                  <c:v>0.90980717812784984</c:v>
                </c:pt>
                <c:pt idx="4">
                  <c:v>0.91064379493201975</c:v>
                </c:pt>
                <c:pt idx="5">
                  <c:v>0.91074758567174208</c:v>
                </c:pt>
                <c:pt idx="6">
                  <c:v>0.90823194405502305</c:v>
                </c:pt>
                <c:pt idx="7">
                  <c:v>0.90809477453269727</c:v>
                </c:pt>
                <c:pt idx="8">
                  <c:v>0.89852135182184145</c:v>
                </c:pt>
                <c:pt idx="9">
                  <c:v>0.88776335159891528</c:v>
                </c:pt>
                <c:pt idx="10">
                  <c:v>0.87557502734648451</c:v>
                </c:pt>
                <c:pt idx="11">
                  <c:v>0.86466396840308457</c:v>
                </c:pt>
                <c:pt idx="12">
                  <c:v>0.85024354045986938</c:v>
                </c:pt>
                <c:pt idx="13">
                  <c:v>0.83869875914280723</c:v>
                </c:pt>
                <c:pt idx="14">
                  <c:v>0.82794238778588425</c:v>
                </c:pt>
                <c:pt idx="15">
                  <c:v>0.82048711752608772</c:v>
                </c:pt>
                <c:pt idx="16">
                  <c:v>0.81381832788573771</c:v>
                </c:pt>
                <c:pt idx="17">
                  <c:v>0.80969594800376166</c:v>
                </c:pt>
                <c:pt idx="18">
                  <c:v>0.80568873433025778</c:v>
                </c:pt>
                <c:pt idx="19">
                  <c:v>0.80585552529290738</c:v>
                </c:pt>
                <c:pt idx="20">
                  <c:v>0.81048254718424473</c:v>
                </c:pt>
                <c:pt idx="21">
                  <c:v>0.81762952506997999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1B1-4C39-BC03-B460CD5B344A}"/>
            </c:ext>
          </c:extLst>
        </c:ser>
        <c:ser>
          <c:idx val="3"/>
          <c:order val="3"/>
          <c:tx>
            <c:strRef>
              <c:f>Cars!$M$10</c:f>
              <c:strCache>
                <c:ptCount val="1"/>
                <c:pt idx="0">
                  <c:v>MN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Cars!$I$11:$I$32</c:f>
              <c:numCache>
                <c:formatCode>General</c:formatCode>
                <c:ptCount val="22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</c:numCache>
            </c:numRef>
          </c:xVal>
          <c:yVal>
            <c:numRef>
              <c:f>Cars!$M$11:$M$32</c:f>
              <c:numCache>
                <c:formatCode>General</c:formatCode>
                <c:ptCount val="22"/>
                <c:pt idx="0">
                  <c:v>1.0072359681962866</c:v>
                </c:pt>
                <c:pt idx="1">
                  <c:v>0.99326783361642457</c:v>
                </c:pt>
                <c:pt idx="2">
                  <c:v>0.98483245891240212</c:v>
                </c:pt>
                <c:pt idx="3">
                  <c:v>0.97826289075650963</c:v>
                </c:pt>
                <c:pt idx="4">
                  <c:v>0.96872102015501782</c:v>
                </c:pt>
                <c:pt idx="5">
                  <c:v>0.95983455617664815</c:v>
                </c:pt>
                <c:pt idx="6">
                  <c:v>0.94938894789659534</c:v>
                </c:pt>
                <c:pt idx="7">
                  <c:v>0.94215818147262664</c:v>
                </c:pt>
                <c:pt idx="8">
                  <c:v>0.92616781981710306</c:v>
                </c:pt>
                <c:pt idx="9">
                  <c:v>0.90955161331673384</c:v>
                </c:pt>
                <c:pt idx="10">
                  <c:v>0.8919742616890376</c:v>
                </c:pt>
                <c:pt idx="11">
                  <c:v>0.8760737427152413</c:v>
                </c:pt>
                <c:pt idx="12">
                  <c:v>0.85700823861271114</c:v>
                </c:pt>
                <c:pt idx="13">
                  <c:v>0.84111827873687195</c:v>
                </c:pt>
                <c:pt idx="14">
                  <c:v>0.82628023952937601</c:v>
                </c:pt>
                <c:pt idx="15">
                  <c:v>0.81497667045681854</c:v>
                </c:pt>
                <c:pt idx="16">
                  <c:v>0.80466770241672692</c:v>
                </c:pt>
                <c:pt idx="17">
                  <c:v>0.79709190403284969</c:v>
                </c:pt>
                <c:pt idx="18">
                  <c:v>0.78979979985532689</c:v>
                </c:pt>
                <c:pt idx="19">
                  <c:v>0.78683454237732764</c:v>
                </c:pt>
                <c:pt idx="20">
                  <c:v>0.78846876489523465</c:v>
                </c:pt>
                <c:pt idx="21">
                  <c:v>0.79275033587695709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1B1-4C39-BC03-B460CD5B3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020112"/>
        <c:axId val="34020592"/>
      </c:scatterChart>
      <c:valAx>
        <c:axId val="34020112"/>
        <c:scaling>
          <c:orientation val="minMax"/>
          <c:max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  <a:r>
                  <a:rPr lang="en-US" baseline="0"/>
                  <a:t> of Vehicle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20592"/>
        <c:crosses val="autoZero"/>
        <c:crossBetween val="midCat"/>
      </c:valAx>
      <c:valAx>
        <c:axId val="34020592"/>
        <c:scaling>
          <c:orientation val="minMax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Probability</a:t>
                </a:r>
                <a:r>
                  <a:rPr lang="en-US" baseline="0"/>
                  <a:t> of Surviving to Next Year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20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583334474495033"/>
          <c:y val="0.3408253781452884"/>
          <c:w val="0.11749999999999999"/>
          <c:h val="0.39703884171652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38099</xdr:colOff>
      <xdr:row>1</xdr:row>
      <xdr:rowOff>185736</xdr:rowOff>
    </xdr:from>
    <xdr:to>
      <xdr:col>23</xdr:col>
      <xdr:colOff>28574</xdr:colOff>
      <xdr:row>23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F61E6F-2518-BE95-368A-9E9A0EBCFD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CF1D2-5A77-4D8C-AAEF-52386F9C1998}">
  <dimension ref="A1:M143"/>
  <sheetViews>
    <sheetView tabSelected="1" workbookViewId="0">
      <selection activeCell="AB21" sqref="AB21"/>
    </sheetView>
  </sheetViews>
  <sheetFormatPr defaultRowHeight="15" x14ac:dyDescent="0.25"/>
  <sheetData>
    <row r="1" spans="1:13" x14ac:dyDescent="0.25">
      <c r="A1" s="3" t="s">
        <v>67</v>
      </c>
    </row>
    <row r="2" spans="1:13" x14ac:dyDescent="0.25">
      <c r="A2" s="4">
        <v>45541</v>
      </c>
    </row>
    <row r="4" spans="1:13" x14ac:dyDescent="0.25">
      <c r="B4" t="s">
        <v>58</v>
      </c>
      <c r="C4" t="s">
        <v>59</v>
      </c>
      <c r="D4" t="s">
        <v>60</v>
      </c>
      <c r="E4" t="s">
        <v>61</v>
      </c>
      <c r="F4" t="s">
        <v>62</v>
      </c>
      <c r="G4" s="1" t="s">
        <v>63</v>
      </c>
      <c r="H4" s="1"/>
    </row>
    <row r="5" spans="1:13" x14ac:dyDescent="0.25">
      <c r="B5" t="s">
        <v>0</v>
      </c>
      <c r="C5">
        <v>0.2440638</v>
      </c>
      <c r="D5">
        <v>2.5414300000000001E-2</v>
      </c>
      <c r="E5">
        <v>9.6</v>
      </c>
      <c r="F5" s="2">
        <v>0</v>
      </c>
      <c r="G5">
        <v>0.194246</v>
      </c>
      <c r="H5">
        <v>0.29388160000000002</v>
      </c>
      <c r="J5">
        <f>1.02244659341249-1</f>
        <v>2.2446593412490001E-2</v>
      </c>
      <c r="K5">
        <f>1.05431622864285-1</f>
        <v>5.4316228642850017E-2</v>
      </c>
      <c r="L5">
        <f>1.03935224273581-1</f>
        <v>3.935224273580995E-2</v>
      </c>
      <c r="M5">
        <f>1.03582594676932-1</f>
        <v>3.582594676932005E-2</v>
      </c>
    </row>
    <row r="6" spans="1:13" x14ac:dyDescent="0.25">
      <c r="B6" t="s">
        <v>2</v>
      </c>
      <c r="C6">
        <v>0.32429079999999999</v>
      </c>
      <c r="D6">
        <v>7.7334600000000003E-2</v>
      </c>
      <c r="E6">
        <v>4.1900000000000004</v>
      </c>
      <c r="F6" s="2">
        <v>0</v>
      </c>
      <c r="G6">
        <v>0.17269760000000001</v>
      </c>
      <c r="H6">
        <v>0.47588399999999997</v>
      </c>
      <c r="J6">
        <f>1.00253389965907-1</f>
        <v>2.5338996590700269E-3</v>
      </c>
      <c r="K6">
        <f>0.990867271271044-1</f>
        <v>-9.1327287289559855E-3</v>
      </c>
      <c r="L6">
        <f>1.00087918182625-1</f>
        <v>8.7918182624990848E-4</v>
      </c>
      <c r="M6">
        <f>0.999358513373982-1</f>
        <v>-6.4148662601803963E-4</v>
      </c>
    </row>
    <row r="7" spans="1:13" x14ac:dyDescent="0.25">
      <c r="B7" t="s">
        <v>3</v>
      </c>
      <c r="C7">
        <v>1.484874</v>
      </c>
      <c r="D7">
        <v>6.1184000000000004E-3</v>
      </c>
      <c r="E7">
        <v>242.69</v>
      </c>
      <c r="F7" s="2">
        <v>0</v>
      </c>
      <c r="G7">
        <v>1.4728810000000001</v>
      </c>
      <c r="H7">
        <v>1.4968680000000001</v>
      </c>
    </row>
    <row r="8" spans="1:13" x14ac:dyDescent="0.25">
      <c r="B8" t="s">
        <v>4</v>
      </c>
      <c r="C8">
        <v>0.30401280000000003</v>
      </c>
      <c r="D8">
        <v>4.6208999999999998E-3</v>
      </c>
      <c r="E8">
        <v>65.790000000000006</v>
      </c>
      <c r="F8" s="2">
        <v>0</v>
      </c>
      <c r="G8">
        <v>0.29495490000000002</v>
      </c>
      <c r="H8">
        <v>0.31307079999999998</v>
      </c>
    </row>
    <row r="9" spans="1:13" x14ac:dyDescent="0.25">
      <c r="B9" t="s">
        <v>1</v>
      </c>
      <c r="F9" s="2"/>
    </row>
    <row r="10" spans="1:13" x14ac:dyDescent="0.25">
      <c r="B10" t="s">
        <v>5</v>
      </c>
      <c r="F10" s="2"/>
      <c r="J10" t="s">
        <v>64</v>
      </c>
      <c r="K10" t="s">
        <v>51</v>
      </c>
      <c r="L10" t="s">
        <v>65</v>
      </c>
      <c r="M10" t="s">
        <v>66</v>
      </c>
    </row>
    <row r="11" spans="1:13" x14ac:dyDescent="0.25">
      <c r="B11">
        <v>3</v>
      </c>
      <c r="C11">
        <v>-0.62130819999999998</v>
      </c>
      <c r="D11">
        <v>3.7772999999999999E-3</v>
      </c>
      <c r="E11">
        <v>-164.49</v>
      </c>
      <c r="F11" s="2">
        <v>0</v>
      </c>
      <c r="G11">
        <v>-0.62871250000000001</v>
      </c>
      <c r="H11">
        <v>-0.61390389999999995</v>
      </c>
      <c r="I11">
        <f>B11</f>
        <v>3</v>
      </c>
      <c r="J11">
        <f>$C$5*J$5+$C$6*J$6+$C$7*LN($B11)+$C11+$C$38+$C$92+$C$98*LN($B11)</f>
        <v>0.93719707204673175</v>
      </c>
      <c r="K11">
        <f>$C$5*K$5+$C$6*K$6+$C$7*LN($B11)+$C11+$C$65+$C$92+$C$125*LN($B11)</f>
        <v>0.89211280465678477</v>
      </c>
      <c r="L11">
        <f>$C$5*L$5+$C$6*L$6+$C$7*LN($B11)+$C11+$C$50+$C$92+$C$110*LN($B11)</f>
        <v>1.016374382613324</v>
      </c>
      <c r="M11">
        <f>$C$5*M$5+$C$6*M$6+$C$7*LN($B11)+$C11+$C$56+$C$92+$C$116*LN($B11)</f>
        <v>1.0072359681962866</v>
      </c>
    </row>
    <row r="12" spans="1:13" x14ac:dyDescent="0.25">
      <c r="B12">
        <v>4</v>
      </c>
      <c r="C12">
        <v>-1.0565260000000001</v>
      </c>
      <c r="D12">
        <v>6.0115000000000004E-3</v>
      </c>
      <c r="E12">
        <v>-175.75</v>
      </c>
      <c r="F12" s="2">
        <v>0</v>
      </c>
      <c r="G12">
        <v>-1.0683100000000001</v>
      </c>
      <c r="H12">
        <v>-1.0447420000000001</v>
      </c>
      <c r="I12">
        <f t="shared" ref="I12:I32" si="0">B12</f>
        <v>4</v>
      </c>
      <c r="J12">
        <f t="shared" ref="J12:J32" si="1">$C$5*J$5+$C$6*J$6+$C$7*LN($B12)+$C12+$C$38+$C$92+$C$98*LN($B12)</f>
        <v>0.95023871681239402</v>
      </c>
      <c r="K12">
        <f t="shared" ref="K12:K32" si="2">$C$5*K$5+$C$6*K$6+$C$7*LN($B12)+$C12+$C$65+$C$92+$C$125*LN($B12)</f>
        <v>0.89751341220067704</v>
      </c>
      <c r="L12">
        <f t="shared" ref="L12:L32" si="3">$C$5*L$5+$C$6*L$6+$C$7*LN($B12)+$C12+$C$50+$C$92+$C$110*LN($B12)</f>
        <v>1.0054237165232021</v>
      </c>
      <c r="M12">
        <f t="shared" ref="M12:M32" si="4">$C$5*M$5+$C$6*M$6+$C$7*LN($B12)+$C12+$C$56+$C$92+$C$116*LN($B12)</f>
        <v>0.99326783361642457</v>
      </c>
    </row>
    <row r="13" spans="1:13" x14ac:dyDescent="0.25">
      <c r="B13">
        <v>5</v>
      </c>
      <c r="C13">
        <v>-1.3917079999999999</v>
      </c>
      <c r="D13">
        <v>7.7894000000000001E-3</v>
      </c>
      <c r="E13">
        <v>-178.67</v>
      </c>
      <c r="F13" s="2">
        <v>0</v>
      </c>
      <c r="G13">
        <v>-1.4069769999999999</v>
      </c>
      <c r="H13">
        <v>-1.376439</v>
      </c>
      <c r="I13">
        <f t="shared" si="0"/>
        <v>5</v>
      </c>
      <c r="J13">
        <f t="shared" si="1"/>
        <v>0.96275375459673973</v>
      </c>
      <c r="K13">
        <f t="shared" si="2"/>
        <v>0.9041016010616314</v>
      </c>
      <c r="L13">
        <f t="shared" si="3"/>
        <v>0.99932887221455935</v>
      </c>
      <c r="M13">
        <f t="shared" si="4"/>
        <v>0.98483245891240212</v>
      </c>
    </row>
    <row r="14" spans="1:13" x14ac:dyDescent="0.25">
      <c r="B14">
        <v>6</v>
      </c>
      <c r="C14">
        <v>-1.665249</v>
      </c>
      <c r="D14">
        <v>9.2534999999999996E-3</v>
      </c>
      <c r="E14">
        <v>-179.96</v>
      </c>
      <c r="F14" s="2">
        <v>0</v>
      </c>
      <c r="G14">
        <v>-1.6833880000000001</v>
      </c>
      <c r="H14">
        <v>-1.6471100000000001</v>
      </c>
      <c r="I14">
        <f t="shared" si="0"/>
        <v>6</v>
      </c>
      <c r="J14">
        <f t="shared" si="1"/>
        <v>0.97330191983649539</v>
      </c>
      <c r="K14">
        <f t="shared" si="2"/>
        <v>0.90980717812784984</v>
      </c>
      <c r="L14">
        <f t="shared" si="3"/>
        <v>0.99467165663572288</v>
      </c>
      <c r="M14">
        <f t="shared" si="4"/>
        <v>0.97826289075650963</v>
      </c>
    </row>
    <row r="15" spans="1:13" x14ac:dyDescent="0.25">
      <c r="B15">
        <v>7</v>
      </c>
      <c r="C15">
        <v>-1.900512</v>
      </c>
      <c r="D15">
        <v>1.0496399999999999E-2</v>
      </c>
      <c r="E15">
        <v>-181.06</v>
      </c>
      <c r="F15" s="2">
        <v>0</v>
      </c>
      <c r="G15">
        <v>-1.921087</v>
      </c>
      <c r="H15">
        <v>-1.879937</v>
      </c>
      <c r="I15">
        <f t="shared" si="0"/>
        <v>7</v>
      </c>
      <c r="J15">
        <f t="shared" si="1"/>
        <v>0.97823288660235308</v>
      </c>
      <c r="K15">
        <f t="shared" si="2"/>
        <v>0.91064379493201975</v>
      </c>
      <c r="L15">
        <f t="shared" si="3"/>
        <v>0.98674665709987119</v>
      </c>
      <c r="M15">
        <f t="shared" si="4"/>
        <v>0.96872102015501782</v>
      </c>
    </row>
    <row r="16" spans="1:13" x14ac:dyDescent="0.25">
      <c r="B16">
        <v>8</v>
      </c>
      <c r="C16">
        <v>-2.104927</v>
      </c>
      <c r="D16">
        <v>1.15754E-2</v>
      </c>
      <c r="E16">
        <v>-181.85</v>
      </c>
      <c r="F16" s="2">
        <v>0</v>
      </c>
      <c r="G16">
        <v>-2.1276169999999999</v>
      </c>
      <c r="H16">
        <v>-2.0822370000000001</v>
      </c>
      <c r="I16">
        <f t="shared" si="0"/>
        <v>8</v>
      </c>
      <c r="J16">
        <f t="shared" si="1"/>
        <v>0.98188336460215764</v>
      </c>
      <c r="K16">
        <f t="shared" si="2"/>
        <v>0.91074758567174208</v>
      </c>
      <c r="L16">
        <f t="shared" si="3"/>
        <v>0.97926079054560089</v>
      </c>
      <c r="M16">
        <f t="shared" si="4"/>
        <v>0.95983455617664815</v>
      </c>
    </row>
    <row r="17" spans="2:13" x14ac:dyDescent="0.25">
      <c r="B17">
        <v>9</v>
      </c>
      <c r="C17">
        <v>-2.2878409999999998</v>
      </c>
      <c r="D17">
        <v>1.25285E-2</v>
      </c>
      <c r="E17">
        <v>-182.61</v>
      </c>
      <c r="F17" s="2">
        <v>0</v>
      </c>
      <c r="G17">
        <v>-2.3123990000000001</v>
      </c>
      <c r="H17">
        <v>-2.2632819999999998</v>
      </c>
      <c r="I17">
        <f t="shared" si="0"/>
        <v>9</v>
      </c>
      <c r="J17">
        <f t="shared" si="1"/>
        <v>0.98249612286059707</v>
      </c>
      <c r="K17">
        <f t="shared" si="2"/>
        <v>0.90823194405502305</v>
      </c>
      <c r="L17">
        <f t="shared" si="3"/>
        <v>0.97005059674824434</v>
      </c>
      <c r="M17">
        <f t="shared" si="4"/>
        <v>0.94938894789659534</v>
      </c>
    </row>
    <row r="18" spans="2:13" x14ac:dyDescent="0.25">
      <c r="B18">
        <v>10</v>
      </c>
      <c r="C18">
        <v>-2.4493499999999999</v>
      </c>
      <c r="D18">
        <v>1.3381799999999999E-2</v>
      </c>
      <c r="E18">
        <v>-183.04</v>
      </c>
      <c r="F18" s="2">
        <v>0</v>
      </c>
      <c r="G18">
        <v>-2.4755820000000002</v>
      </c>
      <c r="H18">
        <v>-2.4231189999999998</v>
      </c>
      <c r="I18">
        <f t="shared" si="0"/>
        <v>10</v>
      </c>
      <c r="J18">
        <f t="shared" si="1"/>
        <v>0.98515740238650418</v>
      </c>
      <c r="K18">
        <f t="shared" si="2"/>
        <v>0.90809477453269727</v>
      </c>
      <c r="L18">
        <f t="shared" si="3"/>
        <v>0.9639249462369589</v>
      </c>
      <c r="M18">
        <f t="shared" si="4"/>
        <v>0.94215818147262664</v>
      </c>
    </row>
    <row r="19" spans="2:13" x14ac:dyDescent="0.25">
      <c r="B19">
        <v>11</v>
      </c>
      <c r="C19">
        <v>-2.6049020000000001</v>
      </c>
      <c r="D19">
        <v>1.4154399999999999E-2</v>
      </c>
      <c r="E19">
        <v>-184.03</v>
      </c>
      <c r="F19" s="2">
        <v>0</v>
      </c>
      <c r="G19">
        <v>-2.6326480000000001</v>
      </c>
      <c r="H19">
        <v>-2.5771570000000001</v>
      </c>
      <c r="I19">
        <f t="shared" si="0"/>
        <v>11</v>
      </c>
      <c r="J19">
        <f t="shared" si="1"/>
        <v>0.97811548476837706</v>
      </c>
      <c r="K19">
        <f t="shared" si="2"/>
        <v>0.89852135182184145</v>
      </c>
      <c r="L19">
        <f t="shared" si="3"/>
        <v>0.94893428352638498</v>
      </c>
      <c r="M19">
        <f t="shared" si="4"/>
        <v>0.92616781981710306</v>
      </c>
    </row>
    <row r="20" spans="2:13" x14ac:dyDescent="0.25">
      <c r="B20">
        <v>12</v>
      </c>
      <c r="C20">
        <v>-2.7489279999999998</v>
      </c>
      <c r="D20">
        <v>1.4860099999999999E-2</v>
      </c>
      <c r="E20">
        <v>-184.99</v>
      </c>
      <c r="F20" s="2">
        <v>0</v>
      </c>
      <c r="G20">
        <v>-2.778057</v>
      </c>
      <c r="H20">
        <v>-2.7197990000000001</v>
      </c>
      <c r="I20">
        <f t="shared" si="0"/>
        <v>12</v>
      </c>
      <c r="J20">
        <f t="shared" si="1"/>
        <v>0.96966856762625941</v>
      </c>
      <c r="K20">
        <f t="shared" si="2"/>
        <v>0.88776335159891528</v>
      </c>
      <c r="L20">
        <f t="shared" si="3"/>
        <v>0.93323073065812223</v>
      </c>
      <c r="M20">
        <f t="shared" si="4"/>
        <v>0.90955161331673384</v>
      </c>
    </row>
    <row r="21" spans="2:13" x14ac:dyDescent="0.25">
      <c r="B21">
        <v>13</v>
      </c>
      <c r="C21">
        <v>-2.8837109999999999</v>
      </c>
      <c r="D21">
        <v>1.5509500000000001E-2</v>
      </c>
      <c r="E21">
        <v>-185.93</v>
      </c>
      <c r="F21" s="2">
        <v>0</v>
      </c>
      <c r="G21">
        <v>-2.914113</v>
      </c>
      <c r="H21">
        <v>-2.8533089999999999</v>
      </c>
      <c r="I21">
        <f t="shared" si="0"/>
        <v>13</v>
      </c>
      <c r="J21">
        <f t="shared" si="1"/>
        <v>0.95960623371953313</v>
      </c>
      <c r="K21">
        <f t="shared" si="2"/>
        <v>0.87557502734648451</v>
      </c>
      <c r="L21">
        <f t="shared" si="3"/>
        <v>0.91649293898694306</v>
      </c>
      <c r="M21">
        <f t="shared" si="4"/>
        <v>0.8919742616890376</v>
      </c>
    </row>
    <row r="22" spans="2:13" x14ac:dyDescent="0.25">
      <c r="B22">
        <v>14</v>
      </c>
      <c r="C22">
        <v>-3.008127</v>
      </c>
      <c r="D22">
        <v>1.6111E-2</v>
      </c>
      <c r="E22">
        <v>-186.71</v>
      </c>
      <c r="F22" s="2">
        <v>0</v>
      </c>
      <c r="G22">
        <v>-3.0397090000000002</v>
      </c>
      <c r="H22">
        <v>-2.9765459999999999</v>
      </c>
      <c r="I22">
        <f t="shared" si="0"/>
        <v>14</v>
      </c>
      <c r="J22">
        <f t="shared" si="1"/>
        <v>0.95066353439211659</v>
      </c>
      <c r="K22">
        <f t="shared" si="2"/>
        <v>0.86466396840308457</v>
      </c>
      <c r="L22">
        <f t="shared" si="3"/>
        <v>0.90136973112226992</v>
      </c>
      <c r="M22">
        <f t="shared" si="4"/>
        <v>0.8760737427152413</v>
      </c>
    </row>
    <row r="23" spans="2:13" x14ac:dyDescent="0.25">
      <c r="B23">
        <v>15</v>
      </c>
      <c r="C23">
        <v>-3.1282179999999999</v>
      </c>
      <c r="D23">
        <v>1.6671100000000001E-2</v>
      </c>
      <c r="E23">
        <v>-187.64</v>
      </c>
      <c r="F23" s="2">
        <v>0</v>
      </c>
      <c r="G23">
        <v>-3.1608969999999998</v>
      </c>
      <c r="H23">
        <v>-3.095539</v>
      </c>
      <c r="I23">
        <f t="shared" si="0"/>
        <v>15</v>
      </c>
      <c r="J23">
        <f t="shared" si="1"/>
        <v>0.93807560541060475</v>
      </c>
      <c r="K23">
        <f t="shared" si="2"/>
        <v>0.85024354045986938</v>
      </c>
      <c r="L23">
        <f t="shared" si="3"/>
        <v>0.88302788634947926</v>
      </c>
      <c r="M23">
        <f t="shared" si="4"/>
        <v>0.85700823861271114</v>
      </c>
    </row>
    <row r="24" spans="2:13" x14ac:dyDescent="0.25">
      <c r="B24">
        <v>16</v>
      </c>
      <c r="C24">
        <v>-3.2386110000000001</v>
      </c>
      <c r="D24">
        <v>1.7195200000000001E-2</v>
      </c>
      <c r="E24">
        <v>-188.34</v>
      </c>
      <c r="F24" s="2">
        <v>0</v>
      </c>
      <c r="G24">
        <v>-3.2723179999999998</v>
      </c>
      <c r="H24">
        <v>-3.2049050000000001</v>
      </c>
      <c r="I24">
        <f t="shared" si="0"/>
        <v>16</v>
      </c>
      <c r="J24">
        <f t="shared" si="1"/>
        <v>0.92824501239192136</v>
      </c>
      <c r="K24">
        <f t="shared" si="2"/>
        <v>0.83869875914280723</v>
      </c>
      <c r="L24">
        <f t="shared" si="3"/>
        <v>0.86781486456799994</v>
      </c>
      <c r="M24">
        <f t="shared" si="4"/>
        <v>0.84111827873687195</v>
      </c>
    </row>
    <row r="25" spans="2:13" x14ac:dyDescent="0.25">
      <c r="B25">
        <v>17</v>
      </c>
      <c r="C25">
        <v>-3.3422209999999999</v>
      </c>
      <c r="D25">
        <v>1.7687600000000001E-2</v>
      </c>
      <c r="E25">
        <v>-188.96</v>
      </c>
      <c r="F25" s="2">
        <v>0</v>
      </c>
      <c r="G25">
        <v>-3.3768929999999999</v>
      </c>
      <c r="H25">
        <v>-3.30755</v>
      </c>
      <c r="I25">
        <f t="shared" si="0"/>
        <v>17</v>
      </c>
      <c r="J25">
        <f t="shared" si="1"/>
        <v>0.91909887342767815</v>
      </c>
      <c r="K25">
        <f t="shared" si="2"/>
        <v>0.82794238778588425</v>
      </c>
      <c r="L25">
        <f t="shared" si="3"/>
        <v>0.85361271095627433</v>
      </c>
      <c r="M25">
        <f t="shared" si="4"/>
        <v>0.82628023952937601</v>
      </c>
    </row>
    <row r="26" spans="2:13" x14ac:dyDescent="0.25">
      <c r="B26">
        <v>18</v>
      </c>
      <c r="C26">
        <v>-3.4372210000000001</v>
      </c>
      <c r="D26">
        <v>1.8152000000000001E-2</v>
      </c>
      <c r="E26">
        <v>-189.36</v>
      </c>
      <c r="F26" s="2">
        <v>0</v>
      </c>
      <c r="G26">
        <v>-3.4728029999999999</v>
      </c>
      <c r="H26">
        <v>-3.4016389999999999</v>
      </c>
      <c r="I26">
        <f t="shared" si="0"/>
        <v>18</v>
      </c>
      <c r="J26">
        <f t="shared" si="1"/>
        <v>0.9131617706503603</v>
      </c>
      <c r="K26">
        <f t="shared" si="2"/>
        <v>0.82048711752608772</v>
      </c>
      <c r="L26">
        <f t="shared" si="3"/>
        <v>0.8429086707706428</v>
      </c>
      <c r="M26">
        <f t="shared" si="4"/>
        <v>0.81497667045681854</v>
      </c>
    </row>
    <row r="27" spans="2:13" x14ac:dyDescent="0.25">
      <c r="B27">
        <v>19</v>
      </c>
      <c r="C27">
        <v>-3.5266999999999999</v>
      </c>
      <c r="D27">
        <v>1.8591300000000002E-2</v>
      </c>
      <c r="E27">
        <v>-189.7</v>
      </c>
      <c r="F27" s="2">
        <v>0</v>
      </c>
      <c r="G27">
        <v>-3.5631430000000002</v>
      </c>
      <c r="H27">
        <v>-3.4902570000000002</v>
      </c>
      <c r="I27">
        <f t="shared" si="0"/>
        <v>19</v>
      </c>
      <c r="J27">
        <f t="shared" si="1"/>
        <v>0.90792904425400378</v>
      </c>
      <c r="K27">
        <f t="shared" si="2"/>
        <v>0.81381832788573771</v>
      </c>
      <c r="L27">
        <f t="shared" si="3"/>
        <v>0.83316680840773294</v>
      </c>
      <c r="M27">
        <f t="shared" si="4"/>
        <v>0.80466770241672692</v>
      </c>
    </row>
    <row r="28" spans="2:13" x14ac:dyDescent="0.25">
      <c r="B28">
        <v>20</v>
      </c>
      <c r="C28">
        <v>-3.6093839999999999</v>
      </c>
      <c r="D28">
        <v>1.90081E-2</v>
      </c>
      <c r="E28">
        <v>-189.89</v>
      </c>
      <c r="F28" s="2">
        <v>0</v>
      </c>
      <c r="G28">
        <v>-3.6466440000000002</v>
      </c>
      <c r="H28">
        <v>-3.5721229999999999</v>
      </c>
      <c r="I28">
        <f t="shared" si="0"/>
        <v>20</v>
      </c>
      <c r="J28">
        <f t="shared" si="1"/>
        <v>0.90516905017626703</v>
      </c>
      <c r="K28">
        <f t="shared" si="2"/>
        <v>0.80969594800376166</v>
      </c>
      <c r="L28">
        <f t="shared" si="3"/>
        <v>0.82612902025935719</v>
      </c>
      <c r="M28">
        <f t="shared" si="4"/>
        <v>0.79709190403284969</v>
      </c>
    </row>
    <row r="29" spans="2:13" x14ac:dyDescent="0.25">
      <c r="B29">
        <v>21</v>
      </c>
      <c r="C29">
        <v>-3.6881189999999999</v>
      </c>
      <c r="D29">
        <v>1.94047E-2</v>
      </c>
      <c r="E29">
        <v>-190.06</v>
      </c>
      <c r="F29" s="2">
        <v>0</v>
      </c>
      <c r="G29">
        <v>-3.7261570000000002</v>
      </c>
      <c r="H29">
        <v>-3.6500819999999998</v>
      </c>
      <c r="I29">
        <f t="shared" si="0"/>
        <v>21</v>
      </c>
      <c r="J29">
        <f t="shared" si="1"/>
        <v>0.90245773741621826</v>
      </c>
      <c r="K29">
        <f t="shared" si="2"/>
        <v>0.80568873433025778</v>
      </c>
      <c r="L29">
        <f t="shared" si="3"/>
        <v>0.81934867123479116</v>
      </c>
      <c r="M29">
        <f t="shared" si="4"/>
        <v>0.78979979985532689</v>
      </c>
    </row>
    <row r="30" spans="2:13" x14ac:dyDescent="0.25">
      <c r="B30">
        <v>22</v>
      </c>
      <c r="C30">
        <v>-3.7592029999999999</v>
      </c>
      <c r="D30">
        <v>1.97828E-2</v>
      </c>
      <c r="E30">
        <v>-190.02</v>
      </c>
      <c r="F30" s="2">
        <v>0</v>
      </c>
      <c r="G30">
        <v>-3.7979820000000002</v>
      </c>
      <c r="H30">
        <v>-3.720424</v>
      </c>
      <c r="I30">
        <f t="shared" si="0"/>
        <v>22</v>
      </c>
      <c r="J30">
        <f t="shared" si="1"/>
        <v>0.90386013255814157</v>
      </c>
      <c r="K30">
        <f t="shared" si="2"/>
        <v>0.80585552529290738</v>
      </c>
      <c r="L30">
        <f t="shared" si="3"/>
        <v>0.8168713575487847</v>
      </c>
      <c r="M30">
        <f t="shared" si="4"/>
        <v>0.78683454237732764</v>
      </c>
    </row>
    <row r="31" spans="2:13" x14ac:dyDescent="0.25">
      <c r="B31">
        <v>23</v>
      </c>
      <c r="C31">
        <v>-3.8226589999999998</v>
      </c>
      <c r="D31">
        <v>2.0144200000000001E-2</v>
      </c>
      <c r="E31">
        <v>-189.77</v>
      </c>
      <c r="F31" s="2">
        <v>0</v>
      </c>
      <c r="G31">
        <v>-3.8621460000000001</v>
      </c>
      <c r="H31">
        <v>-3.783172</v>
      </c>
      <c r="I31">
        <f t="shared" si="0"/>
        <v>23</v>
      </c>
      <c r="J31">
        <f t="shared" si="1"/>
        <v>0.90966782437959404</v>
      </c>
      <c r="K31">
        <f t="shared" si="2"/>
        <v>0.81048254718424473</v>
      </c>
      <c r="L31">
        <f t="shared" si="3"/>
        <v>0.81897183015912101</v>
      </c>
      <c r="M31">
        <f t="shared" si="4"/>
        <v>0.78846876489523465</v>
      </c>
    </row>
    <row r="32" spans="2:13" x14ac:dyDescent="0.25">
      <c r="B32">
        <v>24</v>
      </c>
      <c r="C32">
        <v>-3.8806970000000001</v>
      </c>
      <c r="D32">
        <v>2.04896E-2</v>
      </c>
      <c r="E32">
        <v>-189.4</v>
      </c>
      <c r="F32" s="2">
        <v>0</v>
      </c>
      <c r="G32">
        <v>-3.9208609999999999</v>
      </c>
      <c r="H32">
        <v>-3.8405330000000002</v>
      </c>
      <c r="I32">
        <f t="shared" si="0"/>
        <v>24</v>
      </c>
      <c r="J32">
        <f t="shared" si="1"/>
        <v>0.91794521541602259</v>
      </c>
      <c r="K32">
        <f t="shared" si="2"/>
        <v>0.81762952506997999</v>
      </c>
      <c r="L32">
        <f t="shared" si="3"/>
        <v>0.82369980468052073</v>
      </c>
      <c r="M32">
        <f t="shared" si="4"/>
        <v>0.79275033587695709</v>
      </c>
    </row>
    <row r="33" spans="2:8" x14ac:dyDescent="0.25">
      <c r="B33" t="s">
        <v>1</v>
      </c>
      <c r="F33" s="2"/>
    </row>
    <row r="34" spans="2:8" x14ac:dyDescent="0.25">
      <c r="B34" t="s">
        <v>6</v>
      </c>
      <c r="F34" s="2"/>
    </row>
    <row r="35" spans="2:8" x14ac:dyDescent="0.25">
      <c r="B35" t="s">
        <v>7</v>
      </c>
      <c r="C35">
        <v>-6.8700899999999995E-2</v>
      </c>
      <c r="D35">
        <v>7.8703000000000002E-3</v>
      </c>
      <c r="E35">
        <v>-8.73</v>
      </c>
      <c r="F35" s="2">
        <v>0</v>
      </c>
      <c r="G35">
        <v>-8.4128499999999995E-2</v>
      </c>
      <c r="H35">
        <v>-5.32732E-2</v>
      </c>
    </row>
    <row r="36" spans="2:8" x14ac:dyDescent="0.25">
      <c r="B36" t="s">
        <v>8</v>
      </c>
      <c r="C36">
        <v>-5.2138299999999999E-2</v>
      </c>
      <c r="D36">
        <v>7.9147000000000002E-3</v>
      </c>
      <c r="E36">
        <v>-6.59</v>
      </c>
      <c r="F36" s="2">
        <v>0</v>
      </c>
      <c r="G36">
        <v>-6.7652900000000002E-2</v>
      </c>
      <c r="H36">
        <v>-3.6623799999999998E-2</v>
      </c>
    </row>
    <row r="37" spans="2:8" x14ac:dyDescent="0.25">
      <c r="B37" t="s">
        <v>9</v>
      </c>
      <c r="C37">
        <v>-3.4160200000000002E-2</v>
      </c>
      <c r="D37">
        <v>7.8574999999999999E-3</v>
      </c>
      <c r="E37">
        <v>-4.3499999999999996</v>
      </c>
      <c r="F37" s="2">
        <v>0</v>
      </c>
      <c r="G37">
        <v>-4.9562599999999998E-2</v>
      </c>
      <c r="H37">
        <v>-1.8757800000000002E-2</v>
      </c>
    </row>
    <row r="38" spans="2:8" x14ac:dyDescent="0.25">
      <c r="B38" t="s">
        <v>10</v>
      </c>
      <c r="C38">
        <v>-0.14311760000000001</v>
      </c>
      <c r="D38">
        <v>7.8591000000000008E-3</v>
      </c>
      <c r="E38">
        <v>-18.21</v>
      </c>
      <c r="F38" s="2">
        <v>0</v>
      </c>
      <c r="G38">
        <v>-0.1585231</v>
      </c>
      <c r="H38">
        <v>-0.12771199999999999</v>
      </c>
    </row>
    <row r="39" spans="2:8" x14ac:dyDescent="0.25">
      <c r="B39" t="s">
        <v>11</v>
      </c>
      <c r="C39">
        <v>-1.8561399999999999E-2</v>
      </c>
      <c r="D39">
        <v>7.8841999999999992E-3</v>
      </c>
      <c r="E39">
        <v>-2.35</v>
      </c>
      <c r="F39" s="2">
        <v>1.9E-2</v>
      </c>
      <c r="G39">
        <v>-3.4016200000000003E-2</v>
      </c>
      <c r="H39">
        <v>-3.1066000000000002E-3</v>
      </c>
    </row>
    <row r="40" spans="2:8" x14ac:dyDescent="0.25">
      <c r="B40" t="s">
        <v>12</v>
      </c>
      <c r="C40">
        <v>-3.80068E-2</v>
      </c>
      <c r="D40">
        <v>7.8624999999999997E-3</v>
      </c>
      <c r="E40">
        <v>-4.83</v>
      </c>
      <c r="F40" s="2">
        <v>0</v>
      </c>
      <c r="G40">
        <v>-5.3419099999999997E-2</v>
      </c>
      <c r="H40">
        <v>-2.2594599999999999E-2</v>
      </c>
    </row>
    <row r="41" spans="2:8" x14ac:dyDescent="0.25">
      <c r="B41" t="s">
        <v>13</v>
      </c>
      <c r="C41">
        <v>-2.66366E-2</v>
      </c>
      <c r="D41">
        <v>7.8773999999999997E-3</v>
      </c>
      <c r="E41">
        <v>-3.38</v>
      </c>
      <c r="F41" s="2">
        <v>1E-3</v>
      </c>
      <c r="G41">
        <v>-4.2078200000000003E-2</v>
      </c>
      <c r="H41">
        <v>-1.1195E-2</v>
      </c>
    </row>
    <row r="42" spans="2:8" x14ac:dyDescent="0.25">
      <c r="B42" t="s">
        <v>14</v>
      </c>
      <c r="C42">
        <v>-0.1052148</v>
      </c>
      <c r="D42">
        <v>7.9174999999999992E-3</v>
      </c>
      <c r="E42">
        <v>-13.29</v>
      </c>
      <c r="F42" s="2">
        <v>0</v>
      </c>
      <c r="G42">
        <v>-0.1207348</v>
      </c>
      <c r="H42">
        <v>-8.9694700000000002E-2</v>
      </c>
    </row>
    <row r="43" spans="2:8" x14ac:dyDescent="0.25">
      <c r="B43" t="s">
        <v>15</v>
      </c>
      <c r="C43">
        <v>-8.2178000000000008E-3</v>
      </c>
      <c r="D43">
        <v>7.8764999999999998E-3</v>
      </c>
      <c r="E43">
        <v>-1.04</v>
      </c>
      <c r="F43" s="2">
        <v>0.29699999999999999</v>
      </c>
      <c r="G43">
        <v>-2.3657600000000001E-2</v>
      </c>
      <c r="H43">
        <v>7.2220000000000001E-3</v>
      </c>
    </row>
    <row r="44" spans="2:8" x14ac:dyDescent="0.25">
      <c r="B44" t="s">
        <v>16</v>
      </c>
      <c r="C44">
        <v>-6.5418000000000004E-2</v>
      </c>
      <c r="D44">
        <v>7.8682999999999999E-3</v>
      </c>
      <c r="E44">
        <v>-8.31</v>
      </c>
      <c r="F44" s="2">
        <v>0</v>
      </c>
      <c r="G44">
        <v>-8.08416E-2</v>
      </c>
      <c r="H44">
        <v>-4.9994400000000001E-2</v>
      </c>
    </row>
    <row r="45" spans="2:8" x14ac:dyDescent="0.25">
      <c r="B45" t="s">
        <v>17</v>
      </c>
      <c r="C45">
        <v>2.44306E-2</v>
      </c>
      <c r="D45">
        <v>7.9681999999999999E-3</v>
      </c>
      <c r="E45">
        <v>3.07</v>
      </c>
      <c r="F45" s="2">
        <v>2E-3</v>
      </c>
      <c r="G45">
        <v>8.8111999999999999E-3</v>
      </c>
      <c r="H45">
        <v>4.0050099999999998E-2</v>
      </c>
    </row>
    <row r="46" spans="2:8" x14ac:dyDescent="0.25">
      <c r="B46" t="s">
        <v>18</v>
      </c>
      <c r="C46">
        <v>-4.0218299999999998E-2</v>
      </c>
      <c r="D46">
        <v>7.8808000000000003E-3</v>
      </c>
      <c r="E46">
        <v>-5.0999999999999996</v>
      </c>
      <c r="F46" s="2">
        <v>0</v>
      </c>
      <c r="G46">
        <v>-5.5666500000000001E-2</v>
      </c>
      <c r="H46">
        <v>-2.47701E-2</v>
      </c>
    </row>
    <row r="47" spans="2:8" x14ac:dyDescent="0.25">
      <c r="B47" t="s">
        <v>19</v>
      </c>
      <c r="C47">
        <v>4.3580199999999999E-2</v>
      </c>
      <c r="D47">
        <v>7.8572999999999994E-3</v>
      </c>
      <c r="E47">
        <v>5.55</v>
      </c>
      <c r="F47" s="2">
        <v>0</v>
      </c>
      <c r="G47">
        <v>2.8178100000000001E-2</v>
      </c>
      <c r="H47">
        <v>5.8982300000000001E-2</v>
      </c>
    </row>
    <row r="48" spans="2:8" x14ac:dyDescent="0.25">
      <c r="B48" t="s">
        <v>20</v>
      </c>
      <c r="C48">
        <v>8.7580000000000004E-4</v>
      </c>
      <c r="D48">
        <v>7.8610999999999993E-3</v>
      </c>
      <c r="E48">
        <v>0.11</v>
      </c>
      <c r="F48" s="2">
        <v>0.91100000000000003</v>
      </c>
      <c r="G48">
        <v>-1.45337E-2</v>
      </c>
      <c r="H48">
        <v>1.6285299999999999E-2</v>
      </c>
    </row>
    <row r="49" spans="2:8" x14ac:dyDescent="0.25">
      <c r="B49" t="s">
        <v>21</v>
      </c>
      <c r="C49">
        <v>8.567E-3</v>
      </c>
      <c r="D49">
        <v>7.8618999999999998E-3</v>
      </c>
      <c r="E49">
        <v>1.0900000000000001</v>
      </c>
      <c r="F49" s="2">
        <v>0.27600000000000002</v>
      </c>
      <c r="G49">
        <v>-6.8440999999999997E-3</v>
      </c>
      <c r="H49">
        <v>2.3978200000000002E-2</v>
      </c>
    </row>
    <row r="50" spans="2:8" x14ac:dyDescent="0.25">
      <c r="B50" t="s">
        <v>22</v>
      </c>
      <c r="C50">
        <v>2.4093099999999999E-2</v>
      </c>
      <c r="D50">
        <v>7.8578999999999993E-3</v>
      </c>
      <c r="E50">
        <v>3.07</v>
      </c>
      <c r="F50" s="2">
        <v>2E-3</v>
      </c>
      <c r="G50">
        <v>8.6897999999999993E-3</v>
      </c>
      <c r="H50">
        <v>3.9496400000000001E-2</v>
      </c>
    </row>
    <row r="51" spans="2:8" x14ac:dyDescent="0.25">
      <c r="B51" t="s">
        <v>23</v>
      </c>
      <c r="C51">
        <v>-4.5954000000000002E-2</v>
      </c>
      <c r="D51">
        <v>7.8677E-3</v>
      </c>
      <c r="E51">
        <v>-5.84</v>
      </c>
      <c r="F51" s="2">
        <v>0</v>
      </c>
      <c r="G51">
        <v>-6.1376500000000001E-2</v>
      </c>
      <c r="H51">
        <v>-3.0531599999999999E-2</v>
      </c>
    </row>
    <row r="52" spans="2:8" x14ac:dyDescent="0.25">
      <c r="B52" t="s">
        <v>24</v>
      </c>
      <c r="C52">
        <v>2.0350799999999999E-2</v>
      </c>
      <c r="D52">
        <v>7.8665000000000002E-3</v>
      </c>
      <c r="E52">
        <v>2.59</v>
      </c>
      <c r="F52" s="2">
        <v>0.01</v>
      </c>
      <c r="G52">
        <v>4.9306999999999997E-3</v>
      </c>
      <c r="H52">
        <v>3.5770900000000001E-2</v>
      </c>
    </row>
    <row r="53" spans="2:8" x14ac:dyDescent="0.25">
      <c r="B53" t="s">
        <v>25</v>
      </c>
      <c r="C53">
        <v>-3.84906E-2</v>
      </c>
      <c r="D53">
        <v>7.8577000000000004E-3</v>
      </c>
      <c r="E53">
        <v>-4.9000000000000004</v>
      </c>
      <c r="F53" s="2">
        <v>0</v>
      </c>
      <c r="G53">
        <v>-5.3893499999999997E-2</v>
      </c>
      <c r="H53">
        <v>-2.3087799999999999E-2</v>
      </c>
    </row>
    <row r="54" spans="2:8" x14ac:dyDescent="0.25">
      <c r="B54" t="s">
        <v>26</v>
      </c>
      <c r="C54">
        <v>-3.1655099999999999E-2</v>
      </c>
      <c r="D54">
        <v>7.8572999999999994E-3</v>
      </c>
      <c r="E54">
        <v>-4.03</v>
      </c>
      <c r="F54" s="2">
        <v>0</v>
      </c>
      <c r="G54">
        <v>-4.7057099999999998E-2</v>
      </c>
      <c r="H54">
        <v>-1.6253099999999999E-2</v>
      </c>
    </row>
    <row r="55" spans="2:8" x14ac:dyDescent="0.25">
      <c r="B55" t="s">
        <v>27</v>
      </c>
      <c r="C55">
        <v>-5.0839799999999997E-2</v>
      </c>
      <c r="D55">
        <v>8.0526999999999994E-3</v>
      </c>
      <c r="E55">
        <v>-6.31</v>
      </c>
      <c r="F55" s="2">
        <v>0</v>
      </c>
      <c r="G55">
        <v>-6.6624900000000001E-2</v>
      </c>
      <c r="H55">
        <v>-3.5054799999999997E-2</v>
      </c>
    </row>
    <row r="56" spans="2:8" x14ac:dyDescent="0.25">
      <c r="B56" t="s">
        <v>28</v>
      </c>
      <c r="C56">
        <v>2.7831700000000001E-2</v>
      </c>
      <c r="D56">
        <v>7.8601000000000001E-3</v>
      </c>
      <c r="E56">
        <v>3.54</v>
      </c>
      <c r="F56" s="2">
        <v>0</v>
      </c>
      <c r="G56">
        <v>1.24241E-2</v>
      </c>
      <c r="H56">
        <v>4.3239399999999997E-2</v>
      </c>
    </row>
    <row r="57" spans="2:8" x14ac:dyDescent="0.25">
      <c r="B57" t="s">
        <v>29</v>
      </c>
      <c r="C57">
        <v>3.27456E-2</v>
      </c>
      <c r="D57">
        <v>7.8662000000000003E-3</v>
      </c>
      <c r="E57">
        <v>4.16</v>
      </c>
      <c r="F57" s="2">
        <v>0</v>
      </c>
      <c r="G57">
        <v>1.7326000000000001E-2</v>
      </c>
      <c r="H57">
        <v>4.8165199999999998E-2</v>
      </c>
    </row>
    <row r="58" spans="2:8" x14ac:dyDescent="0.25">
      <c r="B58" t="s">
        <v>30</v>
      </c>
      <c r="C58">
        <v>-1.8995100000000001E-2</v>
      </c>
      <c r="D58">
        <v>7.8574999999999999E-3</v>
      </c>
      <c r="E58">
        <v>-2.42</v>
      </c>
      <c r="F58" s="2">
        <v>1.6E-2</v>
      </c>
      <c r="G58">
        <v>-3.4397499999999998E-2</v>
      </c>
      <c r="H58">
        <v>-3.5926E-3</v>
      </c>
    </row>
    <row r="59" spans="2:8" x14ac:dyDescent="0.25">
      <c r="B59" t="s">
        <v>31</v>
      </c>
      <c r="C59">
        <v>-4.3121E-2</v>
      </c>
      <c r="D59">
        <v>7.8802999999999998E-3</v>
      </c>
      <c r="E59">
        <v>-5.47</v>
      </c>
      <c r="F59" s="2">
        <v>0</v>
      </c>
      <c r="G59">
        <v>-5.8568200000000001E-2</v>
      </c>
      <c r="H59">
        <v>-2.7673799999999998E-2</v>
      </c>
    </row>
    <row r="60" spans="2:8" x14ac:dyDescent="0.25">
      <c r="B60" t="s">
        <v>32</v>
      </c>
      <c r="C60">
        <v>-3.9740000000000001E-4</v>
      </c>
      <c r="D60">
        <v>7.8592999999999996E-3</v>
      </c>
      <c r="E60">
        <v>-0.05</v>
      </c>
      <c r="F60" s="2">
        <v>0.96</v>
      </c>
      <c r="G60">
        <v>-1.5803399999999999E-2</v>
      </c>
      <c r="H60">
        <v>1.5008499999999999E-2</v>
      </c>
    </row>
    <row r="61" spans="2:8" x14ac:dyDescent="0.25">
      <c r="B61" t="s">
        <v>33</v>
      </c>
      <c r="C61">
        <v>-6.1239700000000001E-2</v>
      </c>
      <c r="D61">
        <v>7.9235999999999994E-3</v>
      </c>
      <c r="E61">
        <v>-7.73</v>
      </c>
      <c r="F61" s="2">
        <v>0</v>
      </c>
      <c r="G61">
        <v>-7.6771699999999998E-2</v>
      </c>
      <c r="H61">
        <v>-4.5707699999999997E-2</v>
      </c>
    </row>
    <row r="62" spans="2:8" x14ac:dyDescent="0.25">
      <c r="B62" t="s">
        <v>48</v>
      </c>
      <c r="C62">
        <v>-6.1094599999999999E-2</v>
      </c>
      <c r="D62">
        <v>7.8664000000000008E-3</v>
      </c>
      <c r="E62">
        <v>-7.77</v>
      </c>
      <c r="F62" s="2">
        <v>0</v>
      </c>
      <c r="G62">
        <v>-7.6514600000000002E-2</v>
      </c>
      <c r="H62">
        <v>-4.5674600000000003E-2</v>
      </c>
    </row>
    <row r="63" spans="2:8" x14ac:dyDescent="0.25">
      <c r="B63" t="s">
        <v>49</v>
      </c>
      <c r="C63">
        <v>-0.13422880000000001</v>
      </c>
      <c r="D63">
        <v>7.8604999999999994E-3</v>
      </c>
      <c r="E63">
        <v>-17.079999999999998</v>
      </c>
      <c r="F63" s="2">
        <v>0</v>
      </c>
      <c r="G63">
        <v>-0.1496372</v>
      </c>
      <c r="H63">
        <v>-0.11882040000000001</v>
      </c>
    </row>
    <row r="64" spans="2:8" x14ac:dyDescent="0.25">
      <c r="B64" t="s">
        <v>50</v>
      </c>
      <c r="C64">
        <v>-3.9135299999999998E-2</v>
      </c>
      <c r="D64">
        <v>7.8610999999999993E-3</v>
      </c>
      <c r="E64">
        <v>-4.9800000000000004</v>
      </c>
      <c r="F64" s="2">
        <v>0</v>
      </c>
      <c r="G64">
        <v>-5.4544799999999997E-2</v>
      </c>
      <c r="H64">
        <v>-2.3725799999999998E-2</v>
      </c>
    </row>
    <row r="65" spans="2:8" x14ac:dyDescent="0.25">
      <c r="B65" t="s">
        <v>51</v>
      </c>
      <c r="C65">
        <v>-0.16301679999999999</v>
      </c>
      <c r="D65">
        <v>7.8791999999999994E-3</v>
      </c>
      <c r="E65">
        <v>-20.69</v>
      </c>
      <c r="F65" s="2">
        <v>0</v>
      </c>
      <c r="G65">
        <v>-0.1784617</v>
      </c>
      <c r="H65">
        <v>-0.14757190000000001</v>
      </c>
    </row>
    <row r="66" spans="2:8" x14ac:dyDescent="0.25">
      <c r="B66" t="s">
        <v>52</v>
      </c>
      <c r="C66">
        <v>-1.88129E-2</v>
      </c>
      <c r="D66">
        <v>7.8806999999999992E-3</v>
      </c>
      <c r="E66">
        <v>-2.39</v>
      </c>
      <c r="F66" s="2">
        <v>1.7000000000000001E-2</v>
      </c>
      <c r="G66">
        <v>-3.4260800000000001E-2</v>
      </c>
      <c r="H66">
        <v>-3.3651000000000002E-3</v>
      </c>
    </row>
    <row r="67" spans="2:8" x14ac:dyDescent="0.25">
      <c r="B67" t="s">
        <v>53</v>
      </c>
      <c r="C67">
        <v>-7.1101499999999998E-2</v>
      </c>
      <c r="D67">
        <v>7.8729000000000004E-3</v>
      </c>
      <c r="E67">
        <v>-9.0299999999999994</v>
      </c>
      <c r="F67" s="2">
        <v>0</v>
      </c>
      <c r="G67">
        <v>-8.6534100000000003E-2</v>
      </c>
      <c r="H67">
        <v>-5.5668799999999997E-2</v>
      </c>
    </row>
    <row r="68" spans="2:8" x14ac:dyDescent="0.25">
      <c r="B68" t="s">
        <v>34</v>
      </c>
      <c r="C68">
        <v>-2.8366200000000001E-2</v>
      </c>
      <c r="D68">
        <v>7.8598999999999995E-3</v>
      </c>
      <c r="E68">
        <v>-3.61</v>
      </c>
      <c r="F68" s="2">
        <v>0</v>
      </c>
      <c r="G68">
        <v>-4.3773300000000001E-2</v>
      </c>
      <c r="H68">
        <v>-1.2959E-2</v>
      </c>
    </row>
    <row r="69" spans="2:8" x14ac:dyDescent="0.25">
      <c r="B69" t="s">
        <v>35</v>
      </c>
      <c r="C69">
        <v>-8.3540199999999995E-2</v>
      </c>
      <c r="D69">
        <v>8.0265000000000006E-3</v>
      </c>
      <c r="E69">
        <v>-10.41</v>
      </c>
      <c r="F69" s="2">
        <v>0</v>
      </c>
      <c r="G69">
        <v>-9.9274000000000001E-2</v>
      </c>
      <c r="H69">
        <v>-6.7806500000000006E-2</v>
      </c>
    </row>
    <row r="70" spans="2:8" x14ac:dyDescent="0.25">
      <c r="B70" t="s">
        <v>36</v>
      </c>
      <c r="C70">
        <v>-3.6608399999999999E-2</v>
      </c>
      <c r="D70">
        <v>7.8671999999999995E-3</v>
      </c>
      <c r="E70">
        <v>-4.6500000000000004</v>
      </c>
      <c r="F70" s="2">
        <v>0</v>
      </c>
      <c r="G70">
        <v>-5.2029899999999997E-2</v>
      </c>
      <c r="H70">
        <v>-2.1187000000000001E-2</v>
      </c>
    </row>
    <row r="71" spans="2:8" x14ac:dyDescent="0.25">
      <c r="B71" t="s">
        <v>37</v>
      </c>
      <c r="C71">
        <v>-4.7458300000000002E-2</v>
      </c>
      <c r="D71">
        <v>7.8616999999999992E-3</v>
      </c>
      <c r="E71">
        <v>-6.04</v>
      </c>
      <c r="F71" s="2">
        <v>0</v>
      </c>
      <c r="G71">
        <v>-6.2868999999999994E-2</v>
      </c>
      <c r="H71">
        <v>-3.20475E-2</v>
      </c>
    </row>
    <row r="72" spans="2:8" x14ac:dyDescent="0.25">
      <c r="B72" t="s">
        <v>57</v>
      </c>
      <c r="C72">
        <v>4.1520000000000001E-4</v>
      </c>
      <c r="D72">
        <v>7.8609999999999999E-3</v>
      </c>
      <c r="E72">
        <v>0.05</v>
      </c>
      <c r="F72" s="2">
        <v>0.95799999999999996</v>
      </c>
      <c r="G72">
        <v>-1.49941E-2</v>
      </c>
      <c r="H72">
        <v>1.5824499999999998E-2</v>
      </c>
    </row>
    <row r="73" spans="2:8" x14ac:dyDescent="0.25">
      <c r="B73" t="s">
        <v>54</v>
      </c>
      <c r="C73">
        <v>-2.1619E-3</v>
      </c>
      <c r="D73">
        <v>7.8972000000000001E-3</v>
      </c>
      <c r="E73">
        <v>-0.27</v>
      </c>
      <c r="F73" s="2">
        <v>0.78400000000000003</v>
      </c>
      <c r="G73">
        <v>-1.76422E-2</v>
      </c>
      <c r="H73">
        <v>1.33185E-2</v>
      </c>
    </row>
    <row r="74" spans="2:8" x14ac:dyDescent="0.25">
      <c r="B74" t="s">
        <v>56</v>
      </c>
      <c r="C74">
        <v>-3.2499300000000002E-2</v>
      </c>
      <c r="D74">
        <v>7.8729000000000004E-3</v>
      </c>
      <c r="E74">
        <v>-4.13</v>
      </c>
      <c r="F74" s="2">
        <v>0</v>
      </c>
      <c r="G74">
        <v>-4.7931799999999997E-2</v>
      </c>
      <c r="H74">
        <v>-1.7066700000000001E-2</v>
      </c>
    </row>
    <row r="75" spans="2:8" x14ac:dyDescent="0.25">
      <c r="B75" t="s">
        <v>38</v>
      </c>
      <c r="C75">
        <v>4.9366599999999997E-2</v>
      </c>
      <c r="D75">
        <v>7.8921000000000009E-3</v>
      </c>
      <c r="E75">
        <v>6.26</v>
      </c>
      <c r="F75" s="2">
        <v>0</v>
      </c>
      <c r="G75">
        <v>3.38964E-2</v>
      </c>
      <c r="H75">
        <v>6.48368E-2</v>
      </c>
    </row>
    <row r="76" spans="2:8" x14ac:dyDescent="0.25">
      <c r="B76" t="s">
        <v>39</v>
      </c>
      <c r="C76">
        <v>-3.6257699999999997E-2</v>
      </c>
      <c r="D76">
        <v>7.9033999999999997E-3</v>
      </c>
      <c r="E76">
        <v>-4.59</v>
      </c>
      <c r="F76" s="2">
        <v>0</v>
      </c>
      <c r="G76">
        <v>-5.17501E-2</v>
      </c>
      <c r="H76">
        <v>-2.07653E-2</v>
      </c>
    </row>
    <row r="77" spans="2:8" x14ac:dyDescent="0.25">
      <c r="B77" t="s">
        <v>40</v>
      </c>
      <c r="C77">
        <v>2.9134299999999998E-2</v>
      </c>
      <c r="D77">
        <v>7.9293999999999996E-3</v>
      </c>
      <c r="E77">
        <v>3.67</v>
      </c>
      <c r="F77" s="2">
        <v>0</v>
      </c>
      <c r="G77">
        <v>1.35909E-2</v>
      </c>
      <c r="H77">
        <v>4.4677700000000001E-2</v>
      </c>
    </row>
    <row r="78" spans="2:8" x14ac:dyDescent="0.25">
      <c r="B78" t="s">
        <v>41</v>
      </c>
      <c r="C78">
        <v>-5.1796799999999997E-2</v>
      </c>
      <c r="D78">
        <v>7.8727999999999992E-3</v>
      </c>
      <c r="E78">
        <v>-6.58</v>
      </c>
      <c r="F78" s="2">
        <v>0</v>
      </c>
      <c r="G78">
        <v>-6.7229200000000003E-2</v>
      </c>
      <c r="H78">
        <v>-3.6364500000000001E-2</v>
      </c>
    </row>
    <row r="79" spans="2:8" x14ac:dyDescent="0.25">
      <c r="B79" t="s">
        <v>42</v>
      </c>
      <c r="C79">
        <v>-1.52888E-2</v>
      </c>
      <c r="D79">
        <v>7.8578999999999993E-3</v>
      </c>
      <c r="E79">
        <v>-1.95</v>
      </c>
      <c r="F79" s="2">
        <v>5.1999999999999998E-2</v>
      </c>
      <c r="G79">
        <v>-3.06921E-2</v>
      </c>
      <c r="H79">
        <v>1.145E-4</v>
      </c>
    </row>
    <row r="80" spans="2:8" x14ac:dyDescent="0.25">
      <c r="B80" t="s">
        <v>43</v>
      </c>
      <c r="C80">
        <v>-2.06181E-2</v>
      </c>
      <c r="D80">
        <v>7.8855999999999996E-3</v>
      </c>
      <c r="E80">
        <v>-2.61</v>
      </c>
      <c r="F80" s="2">
        <v>8.9999999999999993E-3</v>
      </c>
      <c r="G80">
        <v>-3.6075599999999999E-2</v>
      </c>
      <c r="H80">
        <v>-5.1605000000000002E-3</v>
      </c>
    </row>
    <row r="81" spans="2:8" x14ac:dyDescent="0.25">
      <c r="B81" t="s">
        <v>55</v>
      </c>
      <c r="C81">
        <v>-3.5851000000000001E-2</v>
      </c>
      <c r="D81">
        <v>7.8922999999999997E-3</v>
      </c>
      <c r="E81">
        <v>-4.54</v>
      </c>
      <c r="F81" s="2">
        <v>0</v>
      </c>
      <c r="G81">
        <v>-5.1321699999999998E-2</v>
      </c>
      <c r="H81">
        <v>-2.03803E-2</v>
      </c>
    </row>
    <row r="82" spans="2:8" x14ac:dyDescent="0.25">
      <c r="B82" t="s">
        <v>44</v>
      </c>
      <c r="C82">
        <v>2.3523499999999999E-2</v>
      </c>
      <c r="D82">
        <v>7.8592000000000002E-3</v>
      </c>
      <c r="E82">
        <v>2.99</v>
      </c>
      <c r="F82" s="2">
        <v>3.0000000000000001E-3</v>
      </c>
      <c r="G82">
        <v>8.1177999999999997E-3</v>
      </c>
      <c r="H82">
        <v>3.89293E-2</v>
      </c>
    </row>
    <row r="83" spans="2:8" x14ac:dyDescent="0.25">
      <c r="B83" t="s">
        <v>45</v>
      </c>
      <c r="C83">
        <v>-5.6934600000000002E-2</v>
      </c>
      <c r="D83">
        <v>7.8598000000000001E-3</v>
      </c>
      <c r="E83">
        <v>-7.24</v>
      </c>
      <c r="F83" s="2">
        <v>0</v>
      </c>
      <c r="G83">
        <v>-7.2341500000000003E-2</v>
      </c>
      <c r="H83">
        <v>-4.1527700000000001E-2</v>
      </c>
    </row>
    <row r="84" spans="2:8" x14ac:dyDescent="0.25">
      <c r="B84" t="s">
        <v>1</v>
      </c>
      <c r="F84" s="2"/>
    </row>
    <row r="85" spans="2:8" x14ac:dyDescent="0.25">
      <c r="B85" t="s">
        <v>46</v>
      </c>
      <c r="F85" s="2"/>
    </row>
    <row r="86" spans="2:8" x14ac:dyDescent="0.25">
      <c r="B86">
        <v>20152016</v>
      </c>
      <c r="C86">
        <v>-2.8522E-3</v>
      </c>
      <c r="D86">
        <v>8.6989999999999995E-4</v>
      </c>
      <c r="E86">
        <v>-3.28</v>
      </c>
      <c r="F86" s="2">
        <v>1E-3</v>
      </c>
      <c r="G86">
        <v>-4.5573000000000002E-3</v>
      </c>
      <c r="H86">
        <v>-1.1471000000000001E-3</v>
      </c>
    </row>
    <row r="87" spans="2:8" x14ac:dyDescent="0.25">
      <c r="B87">
        <v>20162017</v>
      </c>
      <c r="C87">
        <v>8.5982000000000003E-3</v>
      </c>
      <c r="D87">
        <v>8.7319999999999997E-4</v>
      </c>
      <c r="E87">
        <v>9.85</v>
      </c>
      <c r="F87" s="2">
        <v>0</v>
      </c>
      <c r="G87">
        <v>6.8865999999999997E-3</v>
      </c>
      <c r="H87">
        <v>1.03099E-2</v>
      </c>
    </row>
    <row r="88" spans="2:8" x14ac:dyDescent="0.25">
      <c r="B88">
        <v>20172018</v>
      </c>
      <c r="C88">
        <v>-7.0403999999999996E-3</v>
      </c>
      <c r="D88">
        <v>8.6930000000000004E-4</v>
      </c>
      <c r="E88">
        <v>-8.1</v>
      </c>
      <c r="F88" s="2">
        <v>0</v>
      </c>
      <c r="G88">
        <v>-8.7445000000000005E-3</v>
      </c>
      <c r="H88">
        <v>-5.3362000000000001E-3</v>
      </c>
    </row>
    <row r="89" spans="2:8" x14ac:dyDescent="0.25">
      <c r="B89">
        <v>20182019</v>
      </c>
      <c r="C89">
        <v>-1.8009E-3</v>
      </c>
      <c r="D89">
        <v>9.2389999999999996E-4</v>
      </c>
      <c r="E89">
        <v>-1.95</v>
      </c>
      <c r="F89" s="2">
        <v>5.0999999999999997E-2</v>
      </c>
      <c r="G89">
        <v>-3.6120000000000002E-3</v>
      </c>
      <c r="H89">
        <v>1.03E-5</v>
      </c>
    </row>
    <row r="90" spans="2:8" x14ac:dyDescent="0.25">
      <c r="B90">
        <v>20192020</v>
      </c>
      <c r="C90">
        <v>1.22983E-2</v>
      </c>
      <c r="D90">
        <v>1.4746E-3</v>
      </c>
      <c r="E90">
        <v>8.34</v>
      </c>
      <c r="F90" s="2">
        <v>0</v>
      </c>
      <c r="G90">
        <v>9.4077999999999991E-3</v>
      </c>
      <c r="H90">
        <v>1.5188800000000001E-2</v>
      </c>
    </row>
    <row r="91" spans="2:8" x14ac:dyDescent="0.25">
      <c r="B91">
        <v>20202021</v>
      </c>
      <c r="C91">
        <v>-1.35356E-2</v>
      </c>
      <c r="D91">
        <v>1.0371E-3</v>
      </c>
      <c r="E91">
        <v>-13.05</v>
      </c>
      <c r="F91" s="2">
        <v>0</v>
      </c>
      <c r="G91">
        <v>-1.55687E-2</v>
      </c>
      <c r="H91">
        <v>-1.15026E-2</v>
      </c>
    </row>
    <row r="92" spans="2:8" x14ac:dyDescent="0.25">
      <c r="B92">
        <v>20212022</v>
      </c>
      <c r="C92">
        <v>-1.6509099999999999E-2</v>
      </c>
      <c r="D92">
        <v>1.1215999999999999E-3</v>
      </c>
      <c r="E92">
        <v>-14.72</v>
      </c>
      <c r="F92" s="2">
        <v>0</v>
      </c>
      <c r="G92">
        <v>-1.8707700000000001E-2</v>
      </c>
      <c r="H92">
        <v>-1.43105E-2</v>
      </c>
    </row>
    <row r="93" spans="2:8" x14ac:dyDescent="0.25">
      <c r="B93" t="s">
        <v>1</v>
      </c>
      <c r="F93" s="2"/>
    </row>
    <row r="94" spans="2:8" x14ac:dyDescent="0.25">
      <c r="B94" t="s">
        <v>47</v>
      </c>
      <c r="F94" s="2"/>
    </row>
    <row r="95" spans="2:8" x14ac:dyDescent="0.25">
      <c r="B95" t="s">
        <v>7</v>
      </c>
      <c r="C95">
        <v>2.3321999999999999E-2</v>
      </c>
      <c r="D95">
        <v>3.1741999999999999E-3</v>
      </c>
      <c r="E95">
        <v>7.35</v>
      </c>
      <c r="F95" s="2">
        <v>0</v>
      </c>
      <c r="G95">
        <v>1.7099900000000001E-2</v>
      </c>
      <c r="H95">
        <v>2.95441E-2</v>
      </c>
    </row>
    <row r="96" spans="2:8" x14ac:dyDescent="0.25">
      <c r="B96" t="s">
        <v>8</v>
      </c>
      <c r="C96">
        <v>2.0431399999999999E-2</v>
      </c>
      <c r="D96">
        <v>3.1741999999999999E-3</v>
      </c>
      <c r="E96">
        <v>6.44</v>
      </c>
      <c r="F96" s="2">
        <v>0</v>
      </c>
      <c r="G96">
        <v>1.4209299999999999E-2</v>
      </c>
      <c r="H96">
        <v>2.66535E-2</v>
      </c>
    </row>
    <row r="97" spans="2:8" x14ac:dyDescent="0.25">
      <c r="B97" t="s">
        <v>9</v>
      </c>
      <c r="C97">
        <v>8.4632000000000006E-3</v>
      </c>
      <c r="D97">
        <v>3.1741999999999999E-3</v>
      </c>
      <c r="E97">
        <v>2.67</v>
      </c>
      <c r="F97" s="2">
        <v>8.0000000000000002E-3</v>
      </c>
      <c r="G97">
        <v>2.2411000000000002E-3</v>
      </c>
      <c r="H97">
        <v>1.46853E-2</v>
      </c>
    </row>
    <row r="98" spans="2:8" x14ac:dyDescent="0.25">
      <c r="B98" t="s">
        <v>10</v>
      </c>
      <c r="C98">
        <v>7.3302500000000007E-2</v>
      </c>
      <c r="D98">
        <v>3.1741999999999999E-3</v>
      </c>
      <c r="E98">
        <v>23.09</v>
      </c>
      <c r="F98" s="2">
        <v>0</v>
      </c>
      <c r="G98">
        <v>6.7080399999999998E-2</v>
      </c>
      <c r="H98">
        <v>7.9524499999999998E-2</v>
      </c>
    </row>
    <row r="99" spans="2:8" x14ac:dyDescent="0.25">
      <c r="B99" t="s">
        <v>11</v>
      </c>
      <c r="C99">
        <v>4.8805999999999997E-3</v>
      </c>
      <c r="D99">
        <v>3.1741999999999999E-3</v>
      </c>
      <c r="E99">
        <v>1.54</v>
      </c>
      <c r="F99" s="2">
        <v>0.124</v>
      </c>
      <c r="G99">
        <v>-1.3415E-3</v>
      </c>
      <c r="H99">
        <v>1.1102600000000001E-2</v>
      </c>
    </row>
    <row r="100" spans="2:8" x14ac:dyDescent="0.25">
      <c r="B100" t="s">
        <v>12</v>
      </c>
      <c r="C100">
        <v>8.4802999999999996E-3</v>
      </c>
      <c r="D100">
        <v>3.1741999999999999E-3</v>
      </c>
      <c r="E100">
        <v>2.67</v>
      </c>
      <c r="F100" s="2">
        <v>8.0000000000000002E-3</v>
      </c>
      <c r="G100">
        <v>2.2582000000000001E-3</v>
      </c>
      <c r="H100">
        <v>1.4702399999999999E-2</v>
      </c>
    </row>
    <row r="101" spans="2:8" x14ac:dyDescent="0.25">
      <c r="B101" t="s">
        <v>13</v>
      </c>
      <c r="C101">
        <v>4.3049999999999998E-3</v>
      </c>
      <c r="D101">
        <v>3.1741999999999999E-3</v>
      </c>
      <c r="E101">
        <v>1.36</v>
      </c>
      <c r="F101" s="2">
        <v>0.17499999999999999</v>
      </c>
      <c r="G101">
        <v>-1.9170999999999999E-3</v>
      </c>
      <c r="H101">
        <v>1.0527E-2</v>
      </c>
    </row>
    <row r="102" spans="2:8" x14ac:dyDescent="0.25">
      <c r="B102" t="s">
        <v>14</v>
      </c>
      <c r="C102">
        <v>2.6960700000000001E-2</v>
      </c>
      <c r="D102">
        <v>3.1741999999999999E-3</v>
      </c>
      <c r="E102">
        <v>8.49</v>
      </c>
      <c r="F102" s="2">
        <v>0</v>
      </c>
      <c r="G102">
        <v>2.0738599999999999E-2</v>
      </c>
      <c r="H102">
        <v>3.3182799999999998E-2</v>
      </c>
    </row>
    <row r="103" spans="2:8" x14ac:dyDescent="0.25">
      <c r="B103" t="s">
        <v>15</v>
      </c>
      <c r="C103">
        <v>-8.6100000000000006E-5</v>
      </c>
      <c r="D103">
        <v>3.1741999999999999E-3</v>
      </c>
      <c r="E103">
        <v>-0.03</v>
      </c>
      <c r="F103" s="2">
        <v>0.97799999999999998</v>
      </c>
      <c r="G103">
        <v>-6.3081999999999999E-3</v>
      </c>
      <c r="H103">
        <v>6.136E-3</v>
      </c>
    </row>
    <row r="104" spans="2:8" x14ac:dyDescent="0.25">
      <c r="B104" t="s">
        <v>16</v>
      </c>
      <c r="C104">
        <v>2.01853E-2</v>
      </c>
      <c r="D104">
        <v>3.1741999999999999E-3</v>
      </c>
      <c r="E104">
        <v>6.36</v>
      </c>
      <c r="F104" s="2">
        <v>0</v>
      </c>
      <c r="G104">
        <v>1.39632E-2</v>
      </c>
      <c r="H104">
        <v>2.6407400000000001E-2</v>
      </c>
    </row>
    <row r="105" spans="2:8" x14ac:dyDescent="0.25">
      <c r="B105" t="s">
        <v>17</v>
      </c>
      <c r="C105">
        <v>6.1930000000000004E-4</v>
      </c>
      <c r="D105">
        <v>3.1741999999999999E-3</v>
      </c>
      <c r="E105">
        <v>0.2</v>
      </c>
      <c r="F105" s="2">
        <v>0.84499999999999997</v>
      </c>
      <c r="G105">
        <v>-5.6027999999999998E-3</v>
      </c>
      <c r="H105">
        <v>6.8414000000000001E-3</v>
      </c>
    </row>
    <row r="106" spans="2:8" x14ac:dyDescent="0.25">
      <c r="B106" t="s">
        <v>18</v>
      </c>
      <c r="C106">
        <v>4.5522000000000002E-3</v>
      </c>
      <c r="D106">
        <v>3.1741999999999999E-3</v>
      </c>
      <c r="E106">
        <v>1.43</v>
      </c>
      <c r="F106" s="2">
        <v>0.152</v>
      </c>
      <c r="G106">
        <v>-1.6699E-3</v>
      </c>
      <c r="H106">
        <v>1.0774300000000001E-2</v>
      </c>
    </row>
    <row r="107" spans="2:8" x14ac:dyDescent="0.25">
      <c r="B107" t="s">
        <v>19</v>
      </c>
      <c r="C107">
        <v>-2.0538500000000001E-2</v>
      </c>
      <c r="D107">
        <v>3.1741999999999999E-3</v>
      </c>
      <c r="E107">
        <v>-6.47</v>
      </c>
      <c r="F107" s="2">
        <v>0</v>
      </c>
      <c r="G107">
        <v>-2.6760599999999999E-2</v>
      </c>
      <c r="H107">
        <v>-1.4316499999999999E-2</v>
      </c>
    </row>
    <row r="108" spans="2:8" x14ac:dyDescent="0.25">
      <c r="B108" t="s">
        <v>20</v>
      </c>
      <c r="C108">
        <v>-1.9367E-3</v>
      </c>
      <c r="D108">
        <v>3.1741999999999999E-3</v>
      </c>
      <c r="E108">
        <v>-0.61</v>
      </c>
      <c r="F108" s="2">
        <v>0.54200000000000004</v>
      </c>
      <c r="G108">
        <v>-8.1586999999999996E-3</v>
      </c>
      <c r="H108">
        <v>4.2854E-3</v>
      </c>
    </row>
    <row r="109" spans="2:8" x14ac:dyDescent="0.25">
      <c r="B109" t="s">
        <v>21</v>
      </c>
      <c r="C109">
        <v>-3.6188000000000001E-3</v>
      </c>
      <c r="D109">
        <v>3.1741999999999999E-3</v>
      </c>
      <c r="E109">
        <v>-1.1399999999999999</v>
      </c>
      <c r="F109" s="2">
        <v>0.254</v>
      </c>
      <c r="G109">
        <v>-9.8408999999999996E-3</v>
      </c>
      <c r="H109">
        <v>2.6032999999999998E-3</v>
      </c>
    </row>
    <row r="110" spans="2:8" x14ac:dyDescent="0.25">
      <c r="B110" t="s">
        <v>22</v>
      </c>
      <c r="C110">
        <v>-1.00962E-2</v>
      </c>
      <c r="D110">
        <v>3.1741999999999999E-3</v>
      </c>
      <c r="E110">
        <v>-3.18</v>
      </c>
      <c r="F110" s="2">
        <v>1E-3</v>
      </c>
      <c r="G110">
        <v>-1.6318300000000001E-2</v>
      </c>
      <c r="H110">
        <v>-3.8741000000000001E-3</v>
      </c>
    </row>
    <row r="111" spans="2:8" x14ac:dyDescent="0.25">
      <c r="B111" t="s">
        <v>23</v>
      </c>
      <c r="C111">
        <v>7.0435999999999997E-3</v>
      </c>
      <c r="D111">
        <v>3.1741999999999999E-3</v>
      </c>
      <c r="E111">
        <v>2.2200000000000002</v>
      </c>
      <c r="F111" s="2">
        <v>2.7E-2</v>
      </c>
      <c r="G111">
        <v>8.2149999999999996E-4</v>
      </c>
      <c r="H111">
        <v>1.3265600000000001E-2</v>
      </c>
    </row>
    <row r="112" spans="2:8" x14ac:dyDescent="0.25">
      <c r="B112" t="s">
        <v>24</v>
      </c>
      <c r="C112">
        <v>-2.4712399999999999E-2</v>
      </c>
      <c r="D112">
        <v>3.1803000000000001E-3</v>
      </c>
      <c r="E112">
        <v>-7.77</v>
      </c>
      <c r="F112" s="2">
        <v>0</v>
      </c>
      <c r="G112">
        <v>-3.0946499999999998E-2</v>
      </c>
      <c r="H112">
        <v>-1.84783E-2</v>
      </c>
    </row>
    <row r="113" spans="2:8" x14ac:dyDescent="0.25">
      <c r="B113" t="s">
        <v>25</v>
      </c>
      <c r="C113">
        <v>7.6020999999999997E-3</v>
      </c>
      <c r="D113">
        <v>3.1741999999999999E-3</v>
      </c>
      <c r="E113">
        <v>2.39</v>
      </c>
      <c r="F113" s="2">
        <v>1.7000000000000001E-2</v>
      </c>
      <c r="G113">
        <v>1.3799999999999999E-3</v>
      </c>
      <c r="H113">
        <v>1.38242E-2</v>
      </c>
    </row>
    <row r="114" spans="2:8" x14ac:dyDescent="0.25">
      <c r="B114" t="s">
        <v>26</v>
      </c>
      <c r="C114">
        <v>-2.2209E-3</v>
      </c>
      <c r="D114">
        <v>3.1741999999999999E-3</v>
      </c>
      <c r="E114">
        <v>-0.7</v>
      </c>
      <c r="F114" s="2">
        <v>0.48399999999999999</v>
      </c>
      <c r="G114">
        <v>-8.4430000000000009E-3</v>
      </c>
      <c r="H114">
        <v>4.0011999999999999E-3</v>
      </c>
    </row>
    <row r="115" spans="2:8" x14ac:dyDescent="0.25">
      <c r="B115" t="s">
        <v>27</v>
      </c>
      <c r="C115">
        <v>4.4006000000000002E-3</v>
      </c>
      <c r="D115">
        <v>3.2374999999999999E-3</v>
      </c>
      <c r="E115">
        <v>1.36</v>
      </c>
      <c r="F115" s="2">
        <v>0.17399999999999999</v>
      </c>
      <c r="G115">
        <v>-1.9457000000000001E-3</v>
      </c>
      <c r="H115">
        <v>1.0747E-2</v>
      </c>
    </row>
    <row r="116" spans="2:8" x14ac:dyDescent="0.25">
      <c r="B116" t="s">
        <v>28</v>
      </c>
      <c r="C116">
        <v>-2.0585099999999999E-2</v>
      </c>
      <c r="D116">
        <v>3.1741999999999999E-3</v>
      </c>
      <c r="E116">
        <v>-6.49</v>
      </c>
      <c r="F116" s="2">
        <v>0</v>
      </c>
      <c r="G116">
        <v>-2.68072E-2</v>
      </c>
      <c r="H116">
        <v>-1.4363000000000001E-2</v>
      </c>
    </row>
    <row r="117" spans="2:8" x14ac:dyDescent="0.25">
      <c r="B117" t="s">
        <v>29</v>
      </c>
      <c r="C117">
        <v>-1.2194999999999999E-2</v>
      </c>
      <c r="D117">
        <v>3.1741999999999999E-3</v>
      </c>
      <c r="E117">
        <v>-3.84</v>
      </c>
      <c r="F117" s="2">
        <v>0</v>
      </c>
      <c r="G117">
        <v>-1.8416999999999999E-2</v>
      </c>
      <c r="H117">
        <v>-5.9728999999999997E-3</v>
      </c>
    </row>
    <row r="118" spans="2:8" x14ac:dyDescent="0.25">
      <c r="B118" t="s">
        <v>30</v>
      </c>
      <c r="C118">
        <v>3.657E-4</v>
      </c>
      <c r="D118">
        <v>3.1741999999999999E-3</v>
      </c>
      <c r="E118">
        <v>0.12</v>
      </c>
      <c r="F118" s="2">
        <v>0.90800000000000003</v>
      </c>
      <c r="G118">
        <v>-5.8564000000000003E-3</v>
      </c>
      <c r="H118">
        <v>6.5878000000000004E-3</v>
      </c>
    </row>
    <row r="119" spans="2:8" x14ac:dyDescent="0.25">
      <c r="B119" t="s">
        <v>31</v>
      </c>
      <c r="C119">
        <v>1.0825700000000001E-2</v>
      </c>
      <c r="D119">
        <v>3.1741999999999999E-3</v>
      </c>
      <c r="E119">
        <v>3.41</v>
      </c>
      <c r="F119" s="2">
        <v>1E-3</v>
      </c>
      <c r="G119">
        <v>4.6036000000000002E-3</v>
      </c>
      <c r="H119">
        <v>1.7047699999999999E-2</v>
      </c>
    </row>
    <row r="120" spans="2:8" x14ac:dyDescent="0.25">
      <c r="B120" t="s">
        <v>32</v>
      </c>
      <c r="C120">
        <v>1.2189E-3</v>
      </c>
      <c r="D120">
        <v>3.1741999999999999E-3</v>
      </c>
      <c r="E120">
        <v>0.38</v>
      </c>
      <c r="F120" s="2">
        <v>0.70099999999999996</v>
      </c>
      <c r="G120">
        <v>-5.0030999999999999E-3</v>
      </c>
      <c r="H120">
        <v>7.4409999999999997E-3</v>
      </c>
    </row>
    <row r="121" spans="2:8" x14ac:dyDescent="0.25">
      <c r="B121" t="s">
        <v>33</v>
      </c>
      <c r="C121">
        <v>2.2257200000000001E-2</v>
      </c>
      <c r="D121">
        <v>3.1741999999999999E-3</v>
      </c>
      <c r="E121">
        <v>7.01</v>
      </c>
      <c r="F121" s="2">
        <v>0</v>
      </c>
      <c r="G121">
        <v>1.60351E-2</v>
      </c>
      <c r="H121">
        <v>2.8479299999999999E-2</v>
      </c>
    </row>
    <row r="122" spans="2:8" x14ac:dyDescent="0.25">
      <c r="B122" t="s">
        <v>48</v>
      </c>
      <c r="C122">
        <v>8.4344999999999993E-3</v>
      </c>
      <c r="D122">
        <v>3.1803000000000001E-3</v>
      </c>
      <c r="E122">
        <v>2.65</v>
      </c>
      <c r="F122" s="2">
        <v>8.0000000000000002E-3</v>
      </c>
      <c r="G122">
        <v>2.2003999999999999E-3</v>
      </c>
      <c r="H122">
        <v>1.46686E-2</v>
      </c>
    </row>
    <row r="123" spans="2:8" x14ac:dyDescent="0.25">
      <c r="B123" t="s">
        <v>49</v>
      </c>
      <c r="C123">
        <v>3.9434299999999999E-2</v>
      </c>
      <c r="D123">
        <v>3.1741999999999999E-3</v>
      </c>
      <c r="E123">
        <v>12.42</v>
      </c>
      <c r="F123" s="2">
        <v>0</v>
      </c>
      <c r="G123">
        <v>3.32123E-2</v>
      </c>
      <c r="H123">
        <v>4.56564E-2</v>
      </c>
    </row>
    <row r="124" spans="2:8" x14ac:dyDescent="0.25">
      <c r="B124" t="s">
        <v>50</v>
      </c>
      <c r="C124">
        <v>1.8293500000000001E-2</v>
      </c>
      <c r="D124">
        <v>3.1741999999999999E-3</v>
      </c>
      <c r="E124">
        <v>5.76</v>
      </c>
      <c r="F124" s="2">
        <v>0</v>
      </c>
      <c r="G124">
        <v>1.2071399999999999E-2</v>
      </c>
      <c r="H124">
        <v>2.4515599999999999E-2</v>
      </c>
    </row>
    <row r="125" spans="2:8" x14ac:dyDescent="0.25">
      <c r="B125" t="s">
        <v>51</v>
      </c>
      <c r="C125">
        <v>4.67418E-2</v>
      </c>
      <c r="D125">
        <v>3.1741999999999999E-3</v>
      </c>
      <c r="E125">
        <v>14.73</v>
      </c>
      <c r="F125" s="2">
        <v>0</v>
      </c>
      <c r="G125">
        <v>4.0519800000000002E-2</v>
      </c>
      <c r="H125">
        <v>5.2963900000000001E-2</v>
      </c>
    </row>
    <row r="126" spans="2:8" x14ac:dyDescent="0.25">
      <c r="B126" t="s">
        <v>52</v>
      </c>
      <c r="C126">
        <v>1.9425E-3</v>
      </c>
      <c r="D126">
        <v>3.1741999999999999E-3</v>
      </c>
      <c r="E126">
        <v>0.61</v>
      </c>
      <c r="F126" s="2">
        <v>0.54100000000000004</v>
      </c>
      <c r="G126">
        <v>-4.2795000000000003E-3</v>
      </c>
      <c r="H126">
        <v>8.1645999999999993E-3</v>
      </c>
    </row>
    <row r="127" spans="2:8" x14ac:dyDescent="0.25">
      <c r="B127" t="s">
        <v>53</v>
      </c>
      <c r="C127">
        <v>3.0022299999999998E-2</v>
      </c>
      <c r="D127">
        <v>3.1741999999999999E-3</v>
      </c>
      <c r="E127">
        <v>9.4600000000000009</v>
      </c>
      <c r="F127" s="2">
        <v>0</v>
      </c>
      <c r="G127">
        <v>2.3800200000000001E-2</v>
      </c>
      <c r="H127">
        <v>3.6244400000000003E-2</v>
      </c>
    </row>
    <row r="128" spans="2:8" x14ac:dyDescent="0.25">
      <c r="B128" t="s">
        <v>34</v>
      </c>
      <c r="C128">
        <v>1.6383999999999999E-3</v>
      </c>
      <c r="D128">
        <v>3.1741999999999999E-3</v>
      </c>
      <c r="E128">
        <v>0.52</v>
      </c>
      <c r="F128" s="2">
        <v>0.60599999999999998</v>
      </c>
      <c r="G128">
        <v>-4.5836999999999996E-3</v>
      </c>
      <c r="H128">
        <v>7.8604999999999994E-3</v>
      </c>
    </row>
    <row r="129" spans="2:8" x14ac:dyDescent="0.25">
      <c r="B129" t="s">
        <v>35</v>
      </c>
      <c r="C129">
        <v>2.6907899999999998E-2</v>
      </c>
      <c r="D129">
        <v>3.2328000000000001E-3</v>
      </c>
      <c r="E129">
        <v>8.32</v>
      </c>
      <c r="F129" s="2">
        <v>0</v>
      </c>
      <c r="G129">
        <v>2.05708E-2</v>
      </c>
      <c r="H129">
        <v>3.3244999999999997E-2</v>
      </c>
    </row>
    <row r="130" spans="2:8" x14ac:dyDescent="0.25">
      <c r="B130" t="s">
        <v>36</v>
      </c>
      <c r="C130">
        <v>1.9145100000000002E-2</v>
      </c>
      <c r="D130">
        <v>3.1741999999999999E-3</v>
      </c>
      <c r="E130">
        <v>6.03</v>
      </c>
      <c r="F130" s="2">
        <v>0</v>
      </c>
      <c r="G130">
        <v>1.2923E-2</v>
      </c>
      <c r="H130">
        <v>2.53671E-2</v>
      </c>
    </row>
    <row r="131" spans="2:8" x14ac:dyDescent="0.25">
      <c r="B131" t="s">
        <v>37</v>
      </c>
      <c r="C131">
        <v>7.0531999999999999E-3</v>
      </c>
      <c r="D131">
        <v>3.1741999999999999E-3</v>
      </c>
      <c r="E131">
        <v>2.2200000000000002</v>
      </c>
      <c r="F131" s="2">
        <v>2.5999999999999999E-2</v>
      </c>
      <c r="G131">
        <v>8.3109999999999998E-4</v>
      </c>
      <c r="H131">
        <v>1.32753E-2</v>
      </c>
    </row>
    <row r="132" spans="2:8" x14ac:dyDescent="0.25">
      <c r="B132" t="s">
        <v>57</v>
      </c>
      <c r="C132">
        <v>-1.1978900000000001E-2</v>
      </c>
      <c r="D132">
        <v>3.1741999999999999E-3</v>
      </c>
      <c r="E132">
        <v>-3.77</v>
      </c>
      <c r="F132" s="2">
        <v>0</v>
      </c>
      <c r="G132">
        <v>-1.8200999999999998E-2</v>
      </c>
      <c r="H132">
        <v>-5.7568000000000003E-3</v>
      </c>
    </row>
    <row r="133" spans="2:8" x14ac:dyDescent="0.25">
      <c r="B133" t="s">
        <v>54</v>
      </c>
      <c r="C133">
        <v>4.9490000000000005E-4</v>
      </c>
      <c r="D133">
        <v>3.1741999999999999E-3</v>
      </c>
      <c r="E133">
        <v>0.16</v>
      </c>
      <c r="F133" s="2">
        <v>0.876</v>
      </c>
      <c r="G133">
        <v>-5.7272E-3</v>
      </c>
      <c r="H133">
        <v>6.7169999999999999E-3</v>
      </c>
    </row>
    <row r="134" spans="2:8" x14ac:dyDescent="0.25">
      <c r="B134" t="s">
        <v>56</v>
      </c>
      <c r="C134">
        <v>1.2868599999999999E-2</v>
      </c>
      <c r="D134">
        <v>3.1741999999999999E-3</v>
      </c>
      <c r="E134">
        <v>4.05</v>
      </c>
      <c r="F134" s="2">
        <v>0</v>
      </c>
      <c r="G134">
        <v>6.6465999999999999E-3</v>
      </c>
      <c r="H134">
        <v>1.9090699999999999E-2</v>
      </c>
    </row>
    <row r="135" spans="2:8" x14ac:dyDescent="0.25">
      <c r="B135" t="s">
        <v>38</v>
      </c>
      <c r="C135">
        <v>-1.9831100000000001E-2</v>
      </c>
      <c r="D135">
        <v>3.1741999999999999E-3</v>
      </c>
      <c r="E135">
        <v>-6.25</v>
      </c>
      <c r="F135" s="2">
        <v>0</v>
      </c>
      <c r="G135">
        <v>-2.6053099999999999E-2</v>
      </c>
      <c r="H135">
        <v>-1.3609E-2</v>
      </c>
    </row>
    <row r="136" spans="2:8" x14ac:dyDescent="0.25">
      <c r="B136" t="s">
        <v>39</v>
      </c>
      <c r="C136">
        <v>2.8048999999999999E-3</v>
      </c>
      <c r="D136">
        <v>3.1741999999999999E-3</v>
      </c>
      <c r="E136">
        <v>0.88</v>
      </c>
      <c r="F136" s="2">
        <v>0.377</v>
      </c>
      <c r="G136">
        <v>-3.4171000000000002E-3</v>
      </c>
      <c r="H136">
        <v>9.0270000000000003E-3</v>
      </c>
    </row>
    <row r="137" spans="2:8" x14ac:dyDescent="0.25">
      <c r="B137" t="s">
        <v>40</v>
      </c>
      <c r="C137">
        <v>-1.1095600000000001E-2</v>
      </c>
      <c r="D137">
        <v>3.1741999999999999E-3</v>
      </c>
      <c r="E137">
        <v>-3.5</v>
      </c>
      <c r="F137" s="2">
        <v>0</v>
      </c>
      <c r="G137">
        <v>-1.7317699999999998E-2</v>
      </c>
      <c r="H137">
        <v>-4.8735999999999996E-3</v>
      </c>
    </row>
    <row r="138" spans="2:8" x14ac:dyDescent="0.25">
      <c r="B138" t="s">
        <v>41</v>
      </c>
      <c r="C138">
        <v>9.4269999999999998E-4</v>
      </c>
      <c r="D138">
        <v>3.1803000000000001E-3</v>
      </c>
      <c r="E138">
        <v>0.3</v>
      </c>
      <c r="F138" s="2">
        <v>0.76700000000000002</v>
      </c>
      <c r="G138">
        <v>-5.2913999999999999E-3</v>
      </c>
      <c r="H138">
        <v>7.1767999999999997E-3</v>
      </c>
    </row>
    <row r="139" spans="2:8" x14ac:dyDescent="0.25">
      <c r="B139" t="s">
        <v>42</v>
      </c>
      <c r="C139">
        <v>2.3839999999999998E-3</v>
      </c>
      <c r="D139">
        <v>3.1741999999999999E-3</v>
      </c>
      <c r="E139">
        <v>0.75</v>
      </c>
      <c r="F139" s="2">
        <v>0.45300000000000001</v>
      </c>
      <c r="G139">
        <v>-3.8381000000000001E-3</v>
      </c>
      <c r="H139">
        <v>8.6061000000000002E-3</v>
      </c>
    </row>
    <row r="140" spans="2:8" x14ac:dyDescent="0.25">
      <c r="B140" t="s">
        <v>43</v>
      </c>
      <c r="C140">
        <v>1.4229800000000001E-2</v>
      </c>
      <c r="D140">
        <v>3.1741999999999999E-3</v>
      </c>
      <c r="E140">
        <v>4.4800000000000004</v>
      </c>
      <c r="F140" s="2">
        <v>0</v>
      </c>
      <c r="G140">
        <v>8.0076999999999995E-3</v>
      </c>
      <c r="H140">
        <v>2.0451899999999999E-2</v>
      </c>
    </row>
    <row r="141" spans="2:8" x14ac:dyDescent="0.25">
      <c r="B141" t="s">
        <v>55</v>
      </c>
      <c r="C141">
        <v>7.8714000000000006E-3</v>
      </c>
      <c r="D141">
        <v>3.1741999999999999E-3</v>
      </c>
      <c r="E141">
        <v>2.48</v>
      </c>
      <c r="F141" s="2">
        <v>1.2999999999999999E-2</v>
      </c>
      <c r="G141">
        <v>1.6493E-3</v>
      </c>
      <c r="H141">
        <v>1.40935E-2</v>
      </c>
    </row>
    <row r="142" spans="2:8" x14ac:dyDescent="0.25">
      <c r="B142" t="s">
        <v>44</v>
      </c>
      <c r="C142">
        <v>-1.7691200000000001E-2</v>
      </c>
      <c r="D142">
        <v>3.1741999999999999E-3</v>
      </c>
      <c r="E142">
        <v>-5.57</v>
      </c>
      <c r="F142" s="2">
        <v>0</v>
      </c>
      <c r="G142">
        <v>-2.3913299999999998E-2</v>
      </c>
      <c r="H142">
        <v>-1.1469099999999999E-2</v>
      </c>
    </row>
    <row r="143" spans="2:8" x14ac:dyDescent="0.25">
      <c r="B143" t="s">
        <v>45</v>
      </c>
      <c r="C143">
        <v>2.86007E-2</v>
      </c>
      <c r="D143">
        <v>3.1741999999999999E-3</v>
      </c>
      <c r="E143">
        <v>9.01</v>
      </c>
      <c r="F143" s="2">
        <v>0</v>
      </c>
      <c r="G143">
        <v>2.2378700000000001E-2</v>
      </c>
      <c r="H143">
        <v>3.4822800000000001E-2</v>
      </c>
    </row>
  </sheetData>
  <mergeCells count="1">
    <mergeCell ref="G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davidlgreene49@gmail.com</dc:creator>
  <cp:lastModifiedBy>davidlgreene49@gmail.com</cp:lastModifiedBy>
  <dcterms:created xsi:type="dcterms:W3CDTF">2024-09-06T13:17:47Z</dcterms:created>
  <dcterms:modified xsi:type="dcterms:W3CDTF">2024-09-06T13:55:59Z</dcterms:modified>
</cp:coreProperties>
</file>